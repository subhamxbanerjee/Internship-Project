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bha\Downloads\"/>
    </mc:Choice>
  </mc:AlternateContent>
  <xr:revisionPtr revIDLastSave="0" documentId="13_ncr:1_{1FE8656D-5543-4102-AC41-8ADEF069FECC}" xr6:coauthVersionLast="47" xr6:coauthVersionMax="47" xr10:uidLastSave="{00000000-0000-0000-0000-000000000000}"/>
  <bookViews>
    <workbookView showSheetTabs="0" xWindow="-108" yWindow="-108" windowWidth="23256" windowHeight="12456" xr2:uid="{00000000-000D-0000-FFFF-FFFF00000000}"/>
  </bookViews>
  <sheets>
    <sheet name="Dashboard" sheetId="4" r:id="rId1"/>
    <sheet name="Asset Inventory" sheetId="1" state="veryHidden" r:id="rId2"/>
    <sheet name="Warranty Tracker" sheetId="2" state="veryHidden" r:id="rId3"/>
    <sheet name="Tickets" sheetId="3" state="veryHidden" r:id="rId4"/>
    <sheet name="Incidents" sheetId="5" state="veryHidden" r:id="rId5"/>
    <sheet name="Tag Details" sheetId="6" state="veryHidden" r:id="rId6"/>
    <sheet name="Asset Register" sheetId="7" state="veryHidden" r:id="rId7"/>
  </sheets>
  <definedNames>
    <definedName name="_xlnm._FilterDatabase" localSheetId="1" hidden="1">'Asset Inventory'!$A$1:$O$1</definedName>
    <definedName name="_xlnm.Print_Area" localSheetId="1">'Asset Inventory'!$A$1:$I$98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" i="7" l="1"/>
  <c r="C5" i="7"/>
  <c r="C7" i="7"/>
  <c r="C8" i="7"/>
  <c r="C9" i="7"/>
  <c r="C10" i="7"/>
  <c r="C11" i="7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C29" i="7"/>
  <c r="C30" i="7"/>
  <c r="C31" i="7"/>
  <c r="C32" i="7"/>
  <c r="C33" i="7"/>
  <c r="C34" i="7"/>
  <c r="C35" i="7"/>
  <c r="C36" i="7"/>
  <c r="C37" i="7"/>
  <c r="C38" i="7"/>
  <c r="C39" i="7"/>
  <c r="C40" i="7"/>
  <c r="C4" i="7"/>
  <c r="D4" i="4" l="1"/>
  <c r="D6" i="4"/>
  <c r="D5" i="4"/>
  <c r="J25" i="4" l="1"/>
  <c r="I25" i="4"/>
  <c r="G25" i="4"/>
  <c r="H25" i="4" l="1"/>
  <c r="R25" i="4"/>
  <c r="R26" i="4"/>
  <c r="R27" i="4"/>
  <c r="I4" i="4" l="1"/>
  <c r="Q4" i="4"/>
  <c r="I5" i="4"/>
  <c r="Q5" i="4"/>
  <c r="I6" i="4"/>
  <c r="Q6" i="4"/>
  <c r="I7" i="4"/>
  <c r="Q7" i="4"/>
  <c r="I8" i="4"/>
  <c r="B25" i="4"/>
  <c r="C25" i="4"/>
  <c r="D25" i="4"/>
  <c r="E25" i="4"/>
  <c r="C3" i="2" l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2" i="2" l="1"/>
</calcChain>
</file>

<file path=xl/sharedStrings.xml><?xml version="1.0" encoding="utf-8"?>
<sst xmlns="http://schemas.openxmlformats.org/spreadsheetml/2006/main" count="2857" uniqueCount="898">
  <si>
    <t>Asset ID</t>
  </si>
  <si>
    <t>Asset Type</t>
  </si>
  <si>
    <t>Asset Name</t>
  </si>
  <si>
    <t>Brand</t>
  </si>
  <si>
    <t>Model</t>
  </si>
  <si>
    <t>Serial No</t>
  </si>
  <si>
    <t>User Name</t>
  </si>
  <si>
    <t>Department</t>
  </si>
  <si>
    <t>Location</t>
  </si>
  <si>
    <t>Purchase Date</t>
  </si>
  <si>
    <t>Warranty Expiry</t>
  </si>
  <si>
    <t>Status</t>
  </si>
  <si>
    <t>Priority</t>
  </si>
  <si>
    <t>Remarks</t>
  </si>
  <si>
    <t>Laptop</t>
  </si>
  <si>
    <t>Dell</t>
  </si>
  <si>
    <t>IT</t>
  </si>
  <si>
    <t>Active</t>
  </si>
  <si>
    <t>High</t>
  </si>
  <si>
    <t>Desktop</t>
  </si>
  <si>
    <t>HP</t>
  </si>
  <si>
    <t>Repair</t>
  </si>
  <si>
    <t>Days Remaining</t>
  </si>
  <si>
    <t>Ticket ID</t>
  </si>
  <si>
    <t>Date</t>
  </si>
  <si>
    <t>Category</t>
  </si>
  <si>
    <t>Assigned To</t>
  </si>
  <si>
    <t>Metric</t>
  </si>
  <si>
    <t>Value</t>
  </si>
  <si>
    <t>Count</t>
  </si>
  <si>
    <t>Total Assets</t>
  </si>
  <si>
    <t>Active Assets</t>
  </si>
  <si>
    <t>Repair Assets</t>
  </si>
  <si>
    <t>Retired</t>
  </si>
  <si>
    <t>Printer</t>
  </si>
  <si>
    <t>CPG-001</t>
  </si>
  <si>
    <t>CPG-002</t>
  </si>
  <si>
    <t>CPG-003</t>
  </si>
  <si>
    <t>CPG-004</t>
  </si>
  <si>
    <t>CPG-005</t>
  </si>
  <si>
    <t>CPG-006</t>
  </si>
  <si>
    <t>CPG-007</t>
  </si>
  <si>
    <t>CPG-008</t>
  </si>
  <si>
    <t>CPG-009</t>
  </si>
  <si>
    <t>CPG-010</t>
  </si>
  <si>
    <t>CPG-011</t>
  </si>
  <si>
    <t>CPG-012</t>
  </si>
  <si>
    <t>CPG-013</t>
  </si>
  <si>
    <t>CPG-014</t>
  </si>
  <si>
    <t>CPG-015</t>
  </si>
  <si>
    <t>CPG-016</t>
  </si>
  <si>
    <t>CPG-017</t>
  </si>
  <si>
    <t>CPG-018</t>
  </si>
  <si>
    <t>CPG-019</t>
  </si>
  <si>
    <t xml:space="preserve">Server </t>
  </si>
  <si>
    <t>ITSM Dashboard (IT Asset Guwahati)</t>
  </si>
  <si>
    <t>Bijit Sengupta</t>
  </si>
  <si>
    <t>Sitansu Das</t>
  </si>
  <si>
    <t>Shiba Nunia</t>
  </si>
  <si>
    <t>Ankur Kalita</t>
  </si>
  <si>
    <t>Om Bahadur Chetri</t>
  </si>
  <si>
    <t>Kartik Singh</t>
  </si>
  <si>
    <t>Nishanta Kalita</t>
  </si>
  <si>
    <t>Lenovo</t>
  </si>
  <si>
    <t>E14</t>
  </si>
  <si>
    <t>Sonmoni Kalita</t>
  </si>
  <si>
    <t>Jintu Das</t>
  </si>
  <si>
    <t>Rakesh Bordoloi</t>
  </si>
  <si>
    <t>Partha Pratim Thakuria</t>
  </si>
  <si>
    <t>Security</t>
  </si>
  <si>
    <t>Dibyajyoti Bhatta</t>
  </si>
  <si>
    <t>Dipjyoti kalita</t>
  </si>
  <si>
    <t>CPG-020</t>
  </si>
  <si>
    <t>CPG-021</t>
  </si>
  <si>
    <t>CPG-022</t>
  </si>
  <si>
    <t>CPG-023</t>
  </si>
  <si>
    <t>CPG-024</t>
  </si>
  <si>
    <t>CPG-025</t>
  </si>
  <si>
    <t>CPG-026</t>
  </si>
  <si>
    <t>CPG-027</t>
  </si>
  <si>
    <t>CPG-028</t>
  </si>
  <si>
    <t>CPG-029</t>
  </si>
  <si>
    <t>CPG-030</t>
  </si>
  <si>
    <t>CPG-031</t>
  </si>
  <si>
    <t>CPG-032</t>
  </si>
  <si>
    <t>CPG-033</t>
  </si>
  <si>
    <t>CPG-034</t>
  </si>
  <si>
    <t>CPG-035</t>
  </si>
  <si>
    <t>CPG-036</t>
  </si>
  <si>
    <t>CPG-037</t>
  </si>
  <si>
    <t>CPG-038</t>
  </si>
  <si>
    <t>CPG-039</t>
  </si>
  <si>
    <t>CPG-040</t>
  </si>
  <si>
    <t>CPG-041</t>
  </si>
  <si>
    <t>CPG-042</t>
  </si>
  <si>
    <t>CPG-043</t>
  </si>
  <si>
    <t>CPG-044</t>
  </si>
  <si>
    <t>CPG-045</t>
  </si>
  <si>
    <t>CPG-046</t>
  </si>
  <si>
    <t>CPG-047</t>
  </si>
  <si>
    <t>CPG-048</t>
  </si>
  <si>
    <t>CPG-049</t>
  </si>
  <si>
    <t>CPG-050</t>
  </si>
  <si>
    <t>CPG-051</t>
  </si>
  <si>
    <t>CPG-052</t>
  </si>
  <si>
    <t>CPG-053</t>
  </si>
  <si>
    <t>CPG-054</t>
  </si>
  <si>
    <t>CPG-055</t>
  </si>
  <si>
    <t>CPG-056</t>
  </si>
  <si>
    <t>CPG-057</t>
  </si>
  <si>
    <t>CPG-058</t>
  </si>
  <si>
    <t>CPG-059</t>
  </si>
  <si>
    <t>CPG-060</t>
  </si>
  <si>
    <t>CPG-061</t>
  </si>
  <si>
    <t>CPG-062</t>
  </si>
  <si>
    <t>CPG-063</t>
  </si>
  <si>
    <t>CPG-064</t>
  </si>
  <si>
    <t>CPG-065</t>
  </si>
  <si>
    <t>CPG-066</t>
  </si>
  <si>
    <t>CPG-067</t>
  </si>
  <si>
    <t>Bablu Karmakar</t>
  </si>
  <si>
    <t>No Stock</t>
  </si>
  <si>
    <t>Unit Head</t>
  </si>
  <si>
    <t>Guwahati</t>
  </si>
  <si>
    <t>CPG-068</t>
  </si>
  <si>
    <t xml:space="preserve">Account </t>
  </si>
  <si>
    <t>CPG-069</t>
  </si>
  <si>
    <t>CPG-070</t>
  </si>
  <si>
    <t>CPG-071</t>
  </si>
  <si>
    <t>CPG-072</t>
  </si>
  <si>
    <t>CPG-073</t>
  </si>
  <si>
    <t>CPG-074</t>
  </si>
  <si>
    <t>CPG-075</t>
  </si>
  <si>
    <t>CPG-076</t>
  </si>
  <si>
    <t>cannon</t>
  </si>
  <si>
    <t>Store</t>
  </si>
  <si>
    <t>Quality -2</t>
  </si>
  <si>
    <t>Quality -1</t>
  </si>
  <si>
    <t xml:space="preserve">DGM HR </t>
  </si>
  <si>
    <t>HR Office</t>
  </si>
  <si>
    <t>Electrical</t>
  </si>
  <si>
    <t>Production</t>
  </si>
  <si>
    <t>CPG-077</t>
  </si>
  <si>
    <t>CPG-078</t>
  </si>
  <si>
    <t>CPG-079</t>
  </si>
  <si>
    <t>CPG-080</t>
  </si>
  <si>
    <t>CPG-081</t>
  </si>
  <si>
    <t>CPG-082</t>
  </si>
  <si>
    <t>CPG-083</t>
  </si>
  <si>
    <t>CPG-084</t>
  </si>
  <si>
    <t>Desk Top</t>
  </si>
  <si>
    <t>8D4S8F3</t>
  </si>
  <si>
    <t xml:space="preserve">Dell </t>
  </si>
  <si>
    <t>Insprion3891</t>
  </si>
  <si>
    <t>Insprion15</t>
  </si>
  <si>
    <t>G4RDCZ3</t>
  </si>
  <si>
    <t>Optiplex 3000</t>
  </si>
  <si>
    <t>6ZSCFZ3</t>
  </si>
  <si>
    <t>Sitam Paul</t>
  </si>
  <si>
    <t>CPG-085</t>
  </si>
  <si>
    <t>Hp</t>
  </si>
  <si>
    <t>15s</t>
  </si>
  <si>
    <t>5CD137L0WB</t>
  </si>
  <si>
    <t>250G9</t>
  </si>
  <si>
    <t>CND3112340</t>
  </si>
  <si>
    <t>Inspiron 15</t>
  </si>
  <si>
    <t>6SS9NS3</t>
  </si>
  <si>
    <t>Optiplex 3020</t>
  </si>
  <si>
    <t>B1TNX52</t>
  </si>
  <si>
    <t>CPG-086</t>
  </si>
  <si>
    <t>485K622</t>
  </si>
  <si>
    <t>Pranab Das</t>
  </si>
  <si>
    <t>vostro3710</t>
  </si>
  <si>
    <t>61FBM24</t>
  </si>
  <si>
    <t>2B0CM24</t>
  </si>
  <si>
    <t>optiplex 3020</t>
  </si>
  <si>
    <t>395K622</t>
  </si>
  <si>
    <t>3F2TM24</t>
  </si>
  <si>
    <t>Optiplex 3046</t>
  </si>
  <si>
    <t>BLSVXJ2</t>
  </si>
  <si>
    <t>OPtiplex5000</t>
  </si>
  <si>
    <t>6D45VQ3</t>
  </si>
  <si>
    <t>IT room</t>
  </si>
  <si>
    <t>53CNM24</t>
  </si>
  <si>
    <t>5N2JM24</t>
  </si>
  <si>
    <t>CPG-087</t>
  </si>
  <si>
    <t>CPG-088</t>
  </si>
  <si>
    <t>CPG-089</t>
  </si>
  <si>
    <t>Latitude3400</t>
  </si>
  <si>
    <t>JX43003</t>
  </si>
  <si>
    <t>Optiplex3020</t>
  </si>
  <si>
    <t>Security Gate</t>
  </si>
  <si>
    <t>vostro</t>
  </si>
  <si>
    <t>Vostro</t>
  </si>
  <si>
    <t>Mohon Das</t>
  </si>
  <si>
    <t>Tapas Deb</t>
  </si>
  <si>
    <t>Optiplex3046</t>
  </si>
  <si>
    <t>Swaroop Rathore</t>
  </si>
  <si>
    <t>Common PC</t>
  </si>
  <si>
    <t>OPtiplex3020</t>
  </si>
  <si>
    <t>Weigh Bridge</t>
  </si>
  <si>
    <t>In Stock</t>
  </si>
  <si>
    <t>CPG-090</t>
  </si>
  <si>
    <t>CPG-091</t>
  </si>
  <si>
    <t>CPG-092</t>
  </si>
  <si>
    <t>CPG-093</t>
  </si>
  <si>
    <t>CPG-094</t>
  </si>
  <si>
    <t>CPG-095</t>
  </si>
  <si>
    <t>Time Office</t>
  </si>
  <si>
    <t>CPG-096</t>
  </si>
  <si>
    <t>CPG-097</t>
  </si>
  <si>
    <t>CPG-098</t>
  </si>
  <si>
    <t>CPG-099</t>
  </si>
  <si>
    <t>Lease P1007</t>
  </si>
  <si>
    <t>VNFMD00540</t>
  </si>
  <si>
    <t>CO91P24</t>
  </si>
  <si>
    <t>QCT 1250</t>
  </si>
  <si>
    <t>CJ9YR24</t>
  </si>
  <si>
    <t>H8N0P24</t>
  </si>
  <si>
    <t>2JXYR24</t>
  </si>
  <si>
    <t>J700P24</t>
  </si>
  <si>
    <t>3BW15824</t>
  </si>
  <si>
    <t>Lease 126</t>
  </si>
  <si>
    <t>CNBRR8G3B1</t>
  </si>
  <si>
    <t>CND8BBN6VD</t>
  </si>
  <si>
    <t>CNCH853968</t>
  </si>
  <si>
    <t>LEASER 126</t>
  </si>
  <si>
    <t>CNBRT1G17T</t>
  </si>
  <si>
    <t>CNBRR631KW</t>
  </si>
  <si>
    <t>G4KZR24</t>
  </si>
  <si>
    <t>Nabajit Thakuria</t>
  </si>
  <si>
    <t>HN12P24</t>
  </si>
  <si>
    <t>CPG-100</t>
  </si>
  <si>
    <t>PG-05E2JV</t>
  </si>
  <si>
    <t>PG-05E2HL</t>
  </si>
  <si>
    <t>PG-05E2KQ</t>
  </si>
  <si>
    <t>PG-05E2GS</t>
  </si>
  <si>
    <t>PG-05E20A</t>
  </si>
  <si>
    <t>PG-05E2HB</t>
  </si>
  <si>
    <t>B1T7N62</t>
  </si>
  <si>
    <t>B1S5N62</t>
  </si>
  <si>
    <t>B1SPX52</t>
  </si>
  <si>
    <t>2VHJ8Y3</t>
  </si>
  <si>
    <t>7J9YR24</t>
  </si>
  <si>
    <t>QCT1250</t>
  </si>
  <si>
    <t>OptiPlex 3020</t>
  </si>
  <si>
    <t>August 26, 2018</t>
  </si>
  <si>
    <t xml:space="preserve">OptiPlex 3000 </t>
  </si>
  <si>
    <t>PG-05E20H</t>
  </si>
  <si>
    <t>CND11367TD</t>
  </si>
  <si>
    <t>DD45VQ3</t>
  </si>
  <si>
    <t>H3VPN04</t>
  </si>
  <si>
    <t>58N0P24</t>
  </si>
  <si>
    <t>575K622</t>
  </si>
  <si>
    <t>BLWMXJ2</t>
  </si>
  <si>
    <t>B1SJX52</t>
  </si>
  <si>
    <t>8J9YR24</t>
  </si>
  <si>
    <t>3191P24</t>
  </si>
  <si>
    <t>CND3121Z76</t>
  </si>
  <si>
    <t>89N2KY3</t>
  </si>
  <si>
    <t>CNJ8F5JB07</t>
  </si>
  <si>
    <t>VNF5747654</t>
  </si>
  <si>
    <t>VNF8P05848</t>
  </si>
  <si>
    <t>CNBRPCTSH1</t>
  </si>
  <si>
    <t>CNB6JDJSXS</t>
  </si>
  <si>
    <t>B1PQTQX52</t>
  </si>
  <si>
    <t>89TYD02</t>
  </si>
  <si>
    <t>BBYSD02</t>
  </si>
  <si>
    <t>C95K622</t>
  </si>
  <si>
    <t>BLXVXJ2</t>
  </si>
  <si>
    <t>PG-05E2JJ</t>
  </si>
  <si>
    <t>BYMNLC2</t>
  </si>
  <si>
    <t>7XF1ZZ2</t>
  </si>
  <si>
    <t>LATITUDE5310</t>
  </si>
  <si>
    <t>5CD100Y91</t>
  </si>
  <si>
    <t>D85K622</t>
  </si>
  <si>
    <t>1XHJ8Y3</t>
  </si>
  <si>
    <t>Optiplex 5000</t>
  </si>
  <si>
    <t>October 14, 2025</t>
  </si>
  <si>
    <t>HR</t>
  </si>
  <si>
    <t>B1SRX52</t>
  </si>
  <si>
    <t>Sanjib</t>
  </si>
  <si>
    <t>10TCF23</t>
  </si>
  <si>
    <t>Mridul</t>
  </si>
  <si>
    <t>CPG-101</t>
  </si>
  <si>
    <t>CPG-102</t>
  </si>
  <si>
    <t>240 G4</t>
  </si>
  <si>
    <t>5CG5492LFJ</t>
  </si>
  <si>
    <t>PG05E2JY</t>
  </si>
  <si>
    <t>CPG-103</t>
  </si>
  <si>
    <t>CPG-104</t>
  </si>
  <si>
    <t>8C45VQ3</t>
  </si>
  <si>
    <t>TVS</t>
  </si>
  <si>
    <t>CPG-105</t>
  </si>
  <si>
    <t>CPG-106</t>
  </si>
  <si>
    <t>VNF3302405</t>
  </si>
  <si>
    <t>Dibajati bhatta</t>
  </si>
  <si>
    <t>CPG-107</t>
  </si>
  <si>
    <t>1NTTY32</t>
  </si>
  <si>
    <t>Latitute3450</t>
  </si>
  <si>
    <t>C800P24</t>
  </si>
  <si>
    <t>Pro Tower1250</t>
  </si>
  <si>
    <t>3SLXR24</t>
  </si>
  <si>
    <t>CPG-108</t>
  </si>
  <si>
    <t>HH05524</t>
  </si>
  <si>
    <t>CPY0002</t>
  </si>
  <si>
    <t>CPY0003</t>
  </si>
  <si>
    <t>CPY0004</t>
  </si>
  <si>
    <t>CPY0005</t>
  </si>
  <si>
    <t>CPY0006</t>
  </si>
  <si>
    <t>CPY0007</t>
  </si>
  <si>
    <t>CPY0008</t>
  </si>
  <si>
    <t>CPY0009</t>
  </si>
  <si>
    <t>CPY0010</t>
  </si>
  <si>
    <t>CPY0011</t>
  </si>
  <si>
    <t>CPY0012</t>
  </si>
  <si>
    <t>CPY0013</t>
  </si>
  <si>
    <t>CPY0014</t>
  </si>
  <si>
    <t>CPY0015</t>
  </si>
  <si>
    <t>CPY0016</t>
  </si>
  <si>
    <t>CPY0017</t>
  </si>
  <si>
    <t>CPY0018</t>
  </si>
  <si>
    <t>CPY0019</t>
  </si>
  <si>
    <t>CPY0020</t>
  </si>
  <si>
    <t>CPY0021</t>
  </si>
  <si>
    <t>CPY0022</t>
  </si>
  <si>
    <t>CPY0023</t>
  </si>
  <si>
    <t>CPY0024</t>
  </si>
  <si>
    <t>CPY0025</t>
  </si>
  <si>
    <t>CPY0026</t>
  </si>
  <si>
    <t>CPY0001</t>
  </si>
  <si>
    <t>16-06.2026</t>
  </si>
  <si>
    <t>17.06.2026</t>
  </si>
  <si>
    <t xml:space="preserve">Implementation Data Centre/NOC </t>
  </si>
  <si>
    <t>Requested mouse to Production Office</t>
  </si>
  <si>
    <t xml:space="preserve">Requested mouse ped to HR Department </t>
  </si>
  <si>
    <t>Requested to provide the structure diagram</t>
  </si>
  <si>
    <t>Wifi Installed at Training Hall</t>
  </si>
  <si>
    <t>Desktop Not Turning on</t>
  </si>
  <si>
    <t>Security Gate Camera not working</t>
  </si>
  <si>
    <t>Boiler camera not working</t>
  </si>
  <si>
    <t>Power Distibution diagram in DC</t>
  </si>
  <si>
    <t>Convert the RF link to Fiber (JIO)</t>
  </si>
  <si>
    <t>Convert the RF link to Fiber (Ishan 100)</t>
  </si>
  <si>
    <t xml:space="preserve">Power distribution in DC Work </t>
  </si>
  <si>
    <t xml:space="preserve">Power diagram submitted for confirmation </t>
  </si>
  <si>
    <t xml:space="preserve">Printer issue in production </t>
  </si>
  <si>
    <t>Asset accountablity</t>
  </si>
  <si>
    <t>Camera Issue</t>
  </si>
  <si>
    <t>Tranning Hall</t>
  </si>
  <si>
    <t xml:space="preserve">Mac address of Laptop, Desk Top Printer </t>
  </si>
  <si>
    <t>Printer not working</t>
  </si>
  <si>
    <t>Medium</t>
  </si>
  <si>
    <t>Low</t>
  </si>
  <si>
    <t>Hold</t>
  </si>
  <si>
    <t>Closed</t>
  </si>
  <si>
    <t>Open</t>
  </si>
  <si>
    <t>Bablu Karmakar/Nayan moni Das</t>
  </si>
  <si>
    <t xml:space="preserve">Nayan moni Das </t>
  </si>
  <si>
    <t xml:space="preserve">Bablu Karmakar/Nayan Das </t>
  </si>
  <si>
    <t>Bablu Karmakar / Nayan das</t>
  </si>
  <si>
    <t>Nayan Das</t>
  </si>
  <si>
    <t>Nayan/ Bablu</t>
  </si>
  <si>
    <t>Aswani Nayak</t>
  </si>
  <si>
    <t>Training Hall</t>
  </si>
  <si>
    <t>Pallab Das</t>
  </si>
  <si>
    <t>Boiler</t>
  </si>
  <si>
    <t>Electrical Department</t>
  </si>
  <si>
    <t>Priya Ghosh</t>
  </si>
  <si>
    <t>Ankita Mukherjee/Atanu Das</t>
  </si>
  <si>
    <t>Ganesh Shaha</t>
  </si>
  <si>
    <t>GM Sir</t>
  </si>
  <si>
    <t xml:space="preserve">Nayan and Bablu </t>
  </si>
  <si>
    <t xml:space="preserve">Remarks </t>
  </si>
  <si>
    <t xml:space="preserve">Pending due to civil work not done. </t>
  </si>
  <si>
    <t>Digram handed over and as discussed the work will be start after two days. 19/06/2026</t>
  </si>
  <si>
    <t>Diagram completed</t>
  </si>
  <si>
    <t>As discussed, they will check the feasibility and provide confirmation.</t>
  </si>
  <si>
    <t xml:space="preserve">Mail request Correcpending pending . </t>
  </si>
  <si>
    <t>Discussion pending with electrical department.</t>
  </si>
  <si>
    <t>Material confirmation will be give on Monday.</t>
  </si>
  <si>
    <t xml:space="preserve">Issue in Network . Resolved. </t>
  </si>
  <si>
    <t>Serial no pending.</t>
  </si>
  <si>
    <t xml:space="preserve">Issue in Dasktop . </t>
  </si>
  <si>
    <t>Projector to be connect.</t>
  </si>
  <si>
    <t>Remaining 30no which will be done tomorrow.</t>
  </si>
  <si>
    <t>Completed</t>
  </si>
  <si>
    <t>Total Tickets</t>
  </si>
  <si>
    <t>Open Tickets</t>
  </si>
  <si>
    <t>Closed Tickets</t>
  </si>
  <si>
    <t xml:space="preserve">Pen Drive need to be open </t>
  </si>
  <si>
    <t>Data need to be share intimate by Rohit Sir</t>
  </si>
  <si>
    <t>PG-05E2JF</t>
  </si>
  <si>
    <t>PG-05E2K0</t>
  </si>
  <si>
    <t>Incident ID</t>
  </si>
  <si>
    <t>Severity</t>
  </si>
  <si>
    <t xml:space="preserve">Reason </t>
  </si>
  <si>
    <t>455K622</t>
  </si>
  <si>
    <t>B1SMX52</t>
  </si>
  <si>
    <t>PG-05E2JT</t>
  </si>
  <si>
    <t>3JXYR24</t>
  </si>
  <si>
    <t>GHMD554</t>
  </si>
  <si>
    <t>P1007</t>
  </si>
  <si>
    <t>VNF4923539</t>
  </si>
  <si>
    <t>14S</t>
  </si>
  <si>
    <t>5CD1371NQ5</t>
  </si>
  <si>
    <t>PG-05E2QD</t>
  </si>
  <si>
    <t>15S</t>
  </si>
  <si>
    <t>5CD1055H9Q</t>
  </si>
  <si>
    <t>dx2480</t>
  </si>
  <si>
    <t>INA9460DHJ</t>
  </si>
  <si>
    <t>Weight Bridge</t>
  </si>
  <si>
    <t xml:space="preserve">Printer head issue . Neet to be replaced. </t>
  </si>
  <si>
    <t xml:space="preserve">PC not working properly </t>
  </si>
  <si>
    <t xml:space="preserve">need to be upgrade the system </t>
  </si>
  <si>
    <t xml:space="preserve">Tax invoice issue domain </t>
  </si>
  <si>
    <t>Nayan Das / Bablu Karmakar</t>
  </si>
  <si>
    <t>Interpol Technology</t>
  </si>
  <si>
    <t>Required form 16 (Ticket ID: 6202606793656)</t>
  </si>
  <si>
    <t>Employee ID</t>
  </si>
  <si>
    <t>Printer repaired with vendor</t>
  </si>
  <si>
    <t>Parts changes like pressure roller, filter etc</t>
  </si>
  <si>
    <t>Internet issue</t>
  </si>
  <si>
    <t>Diganta Guswami</t>
  </si>
  <si>
    <t>Done.</t>
  </si>
  <si>
    <t xml:space="preserve">Asset Type </t>
  </si>
  <si>
    <t>QXS11085</t>
  </si>
  <si>
    <t>CPY0027</t>
  </si>
  <si>
    <t>CPY0028</t>
  </si>
  <si>
    <t>QXS13954</t>
  </si>
  <si>
    <t>1020+</t>
  </si>
  <si>
    <t>CNCH331142</t>
  </si>
  <si>
    <t>NA</t>
  </si>
  <si>
    <t>CPLY143</t>
  </si>
  <si>
    <t>CPLY192</t>
  </si>
  <si>
    <t>CPLY698</t>
  </si>
  <si>
    <t>CPLY920</t>
  </si>
  <si>
    <t>CPLY726</t>
  </si>
  <si>
    <t>CPLY715</t>
  </si>
  <si>
    <t>PTI139</t>
  </si>
  <si>
    <t>CPLY1011</t>
  </si>
  <si>
    <t>CPLY971</t>
  </si>
  <si>
    <t>PTI405</t>
  </si>
  <si>
    <t>CPLY590</t>
  </si>
  <si>
    <t>PTI347</t>
  </si>
  <si>
    <t>PTI384</t>
  </si>
  <si>
    <t>PTI124</t>
  </si>
  <si>
    <t>PTI348</t>
  </si>
  <si>
    <t>PTI249</t>
  </si>
  <si>
    <t>PTI188</t>
  </si>
  <si>
    <t>CPLY1019</t>
  </si>
  <si>
    <t>CPLY1</t>
  </si>
  <si>
    <t>CPLY744</t>
  </si>
  <si>
    <t>CPLY78</t>
  </si>
  <si>
    <t>PTI275</t>
  </si>
  <si>
    <t>CPLY866</t>
  </si>
  <si>
    <t>CPLY804</t>
  </si>
  <si>
    <t>PTI51</t>
  </si>
  <si>
    <t>PTI276</t>
  </si>
  <si>
    <t>CPLY963</t>
  </si>
  <si>
    <t>CPLY94</t>
  </si>
  <si>
    <t>PTI164</t>
  </si>
  <si>
    <t>CPLY318</t>
  </si>
  <si>
    <t>PTI238</t>
  </si>
  <si>
    <t>PTI39</t>
  </si>
  <si>
    <t>CPLY170</t>
  </si>
  <si>
    <t>CPLY594</t>
  </si>
  <si>
    <t>PTI303</t>
  </si>
  <si>
    <t>PTI134</t>
  </si>
  <si>
    <t>CPLY124</t>
  </si>
  <si>
    <t>PTI128</t>
  </si>
  <si>
    <t>PTI122</t>
  </si>
  <si>
    <t>CPLY1016</t>
  </si>
  <si>
    <t>PTI427</t>
  </si>
  <si>
    <t>PTI407</t>
  </si>
  <si>
    <t>CPLY755</t>
  </si>
  <si>
    <t>CPLY807</t>
  </si>
  <si>
    <t>CPLY921</t>
  </si>
  <si>
    <t>PTI382</t>
  </si>
  <si>
    <t>PTI176</t>
  </si>
  <si>
    <t>PTI252</t>
  </si>
  <si>
    <t>PTI344</t>
  </si>
  <si>
    <t>CPY0029</t>
  </si>
  <si>
    <t>CPY0030</t>
  </si>
  <si>
    <t>CPY0031</t>
  </si>
  <si>
    <t>MS office not working</t>
  </si>
  <si>
    <t xml:space="preserve">Microsoft ward issue . Resolve and working. </t>
  </si>
  <si>
    <t>Dinesh Sharma</t>
  </si>
  <si>
    <t xml:space="preserve">Page was stuckinside the printer . </t>
  </si>
  <si>
    <t xml:space="preserve">Ankur Kalita </t>
  </si>
  <si>
    <t>Outlook not working</t>
  </si>
  <si>
    <t xml:space="preserve">configuration issue. </t>
  </si>
  <si>
    <t>255G8</t>
  </si>
  <si>
    <t>CND11366WW</t>
  </si>
  <si>
    <t>Incidents</t>
  </si>
  <si>
    <t>1VHJ8Y3</t>
  </si>
  <si>
    <t xml:space="preserve"> Down</t>
  </si>
  <si>
    <t xml:space="preserve"> Up</t>
  </si>
  <si>
    <t>Tag No</t>
  </si>
  <si>
    <t>Rack No</t>
  </si>
  <si>
    <t>I/O Box No</t>
  </si>
  <si>
    <t>Device Connected</t>
  </si>
  <si>
    <t>GHY-R01-IO01</t>
  </si>
  <si>
    <t>Guwahati DC</t>
  </si>
  <si>
    <t>R01</t>
  </si>
  <si>
    <t>IO01</t>
  </si>
  <si>
    <t>Core Switch</t>
  </si>
  <si>
    <t>GHY-R01-IO02</t>
  </si>
  <si>
    <t>IO02</t>
  </si>
  <si>
    <t>Firewall</t>
  </si>
  <si>
    <t>GHY-R02-IO01</t>
  </si>
  <si>
    <t>R02</t>
  </si>
  <si>
    <t>Server Rack</t>
  </si>
  <si>
    <t>Asset Register Format</t>
  </si>
  <si>
    <t>Asset Tag</t>
  </si>
  <si>
    <t>Make</t>
  </si>
  <si>
    <t>User</t>
  </si>
  <si>
    <t>GHY-LAP-0001</t>
  </si>
  <si>
    <t>GHY-LAP-0002</t>
  </si>
  <si>
    <t>GHY-LAP-0003</t>
  </si>
  <si>
    <t>GHY-LAP-0004</t>
  </si>
  <si>
    <t>GHY-LAP-0005</t>
  </si>
  <si>
    <t>GHY-LAP-0006</t>
  </si>
  <si>
    <t>GHY-LAP-0007</t>
  </si>
  <si>
    <t>GHY-LAP-0008</t>
  </si>
  <si>
    <t>GHY-LAP-0009</t>
  </si>
  <si>
    <t>GHY-LAP-0010</t>
  </si>
  <si>
    <t>GHY-LAP-0011</t>
  </si>
  <si>
    <t>GHY-LAP-0012</t>
  </si>
  <si>
    <t>GHY-LAP-0013</t>
  </si>
  <si>
    <t>GHY-LAP-0014</t>
  </si>
  <si>
    <t>GHY-LAP-0015</t>
  </si>
  <si>
    <t>GHY-LAP-0016</t>
  </si>
  <si>
    <t>GHY-LAP-0017</t>
  </si>
  <si>
    <t>GHY-LAP-0018</t>
  </si>
  <si>
    <t>GHY-LAP-0019</t>
  </si>
  <si>
    <t>GHY-LAP-0020</t>
  </si>
  <si>
    <t>GHY-LAP-0021</t>
  </si>
  <si>
    <t>GHY-LAP-0022</t>
  </si>
  <si>
    <t>GHY-LAP-0023</t>
  </si>
  <si>
    <t>GHY-LAP-0024</t>
  </si>
  <si>
    <t>GHY-LAP-0025</t>
  </si>
  <si>
    <t>GHY-LAP-0026</t>
  </si>
  <si>
    <t>GHY-LAP-0027</t>
  </si>
  <si>
    <t>GHY-LAP-0028</t>
  </si>
  <si>
    <t>GHY-LAP-0029</t>
  </si>
  <si>
    <t>GHY-LAP-0030</t>
  </si>
  <si>
    <t>GHY-LAP-0031</t>
  </si>
  <si>
    <t>GHY-LAP-0032</t>
  </si>
  <si>
    <t>GHY-LAP-0033</t>
  </si>
  <si>
    <t>GHY-LAP-0034</t>
  </si>
  <si>
    <t>GHY-LAP-0035</t>
  </si>
  <si>
    <t>GHY-LAP-0036</t>
  </si>
  <si>
    <t>GHY-LAP-0037</t>
  </si>
  <si>
    <t>5CD1371NN5</t>
  </si>
  <si>
    <t>1BKXLX3</t>
  </si>
  <si>
    <t>2B7F5W3</t>
  </si>
  <si>
    <t>THBTT931FW</t>
  </si>
  <si>
    <t>PG-05E2Q5</t>
  </si>
  <si>
    <t>Mohan</t>
  </si>
  <si>
    <t>November 03, 2021</t>
  </si>
  <si>
    <t>November 02, 2022</t>
  </si>
  <si>
    <t>May 05, 2021</t>
  </si>
  <si>
    <t>May 04, 2022</t>
  </si>
  <si>
    <t>Inspiron5559</t>
  </si>
  <si>
    <t>September 8, 2016</t>
  </si>
  <si>
    <t>September 10, 2017</t>
  </si>
  <si>
    <t>Inspiron14 7430</t>
  </si>
  <si>
    <t>December 19, 2023</t>
  </si>
  <si>
    <t>June 4, 2025</t>
  </si>
  <si>
    <t>Inspiron15 3511</t>
  </si>
  <si>
    <t>June 28, 2023</t>
  </si>
  <si>
    <t>December 20, 2024</t>
  </si>
  <si>
    <t>Inspiron15 3520</t>
  </si>
  <si>
    <t>February 22, 2024</t>
  </si>
  <si>
    <t>October 26, 2025</t>
  </si>
  <si>
    <t>August 19, 2024</t>
  </si>
  <si>
    <t xml:space="preserve">Inspiron15 3530  </t>
  </si>
  <si>
    <t>April 26, 2026</t>
  </si>
  <si>
    <t>March 29, 2023</t>
  </si>
  <si>
    <t>July 18, 2024</t>
  </si>
  <si>
    <t>5CD2100Y91</t>
  </si>
  <si>
    <t>May 03, 2022</t>
  </si>
  <si>
    <t>May 02, 2023</t>
  </si>
  <si>
    <t>DeskTop</t>
  </si>
  <si>
    <t>GHY-DESK-0001</t>
  </si>
  <si>
    <t>GHY-DESK-0002</t>
  </si>
  <si>
    <t>GHY-DESK-0003</t>
  </si>
  <si>
    <t>GHY-DESK-0004</t>
  </si>
  <si>
    <t>GHY-DESK-0005</t>
  </si>
  <si>
    <t>GHY-DESK-0006</t>
  </si>
  <si>
    <t>GHY-DESK-0007</t>
  </si>
  <si>
    <t>GHY-DESK-0008</t>
  </si>
  <si>
    <t>GHY-DESK-0009</t>
  </si>
  <si>
    <t>GHY-DESK-0010</t>
  </si>
  <si>
    <t>GHY-DESK-0011</t>
  </si>
  <si>
    <t>GHY-DESK-0012</t>
  </si>
  <si>
    <t>GHY-DESK-0013</t>
  </si>
  <si>
    <t>GHY-DESK-0014</t>
  </si>
  <si>
    <t>GHY-DESK-0015</t>
  </si>
  <si>
    <t>GHY-DESK-0016</t>
  </si>
  <si>
    <t>GHY-DESK-0017</t>
  </si>
  <si>
    <t>GHY-DESK-0018</t>
  </si>
  <si>
    <t>GHY-DESK-0019</t>
  </si>
  <si>
    <t>GHY-DESK-0020</t>
  </si>
  <si>
    <t>GHY-DESK-0021</t>
  </si>
  <si>
    <t>GHY-DESK-0022</t>
  </si>
  <si>
    <t>GHY-DESK-0023</t>
  </si>
  <si>
    <t>GHY-DESK-0024</t>
  </si>
  <si>
    <t>GHY-DESK-0025</t>
  </si>
  <si>
    <t>GHY-DESK-0026</t>
  </si>
  <si>
    <t>GHY-DESK-0027</t>
  </si>
  <si>
    <t>GHY-DESK-0028</t>
  </si>
  <si>
    <t>GHY-DESK-0029</t>
  </si>
  <si>
    <t>GHY-DESK-0030</t>
  </si>
  <si>
    <t>GHY-DESK-0031</t>
  </si>
  <si>
    <t>GHY-DESK-0032</t>
  </si>
  <si>
    <t>GHY-DESK-0033</t>
  </si>
  <si>
    <t>GHY-DESK-0034</t>
  </si>
  <si>
    <t>GHY-DESK-0035</t>
  </si>
  <si>
    <t>GHY-DESK-0036</t>
  </si>
  <si>
    <t>GHY-DESK-0037</t>
  </si>
  <si>
    <t>GHY-DESK-0038</t>
  </si>
  <si>
    <t>GHY-DESK-0039</t>
  </si>
  <si>
    <t>GHY-DESK-0040</t>
  </si>
  <si>
    <t>GHY-DESK-0041</t>
  </si>
  <si>
    <t>GHY-DESK-0042</t>
  </si>
  <si>
    <t>GHY-DESK-0043</t>
  </si>
  <si>
    <t>GHY-DESK-0044</t>
  </si>
  <si>
    <t>GHY-DESK-0045</t>
  </si>
  <si>
    <t>GHY-DESK-0046</t>
  </si>
  <si>
    <t>Vostro 3800</t>
  </si>
  <si>
    <t>April 1, 2014</t>
  </si>
  <si>
    <t>July 2, 2017</t>
  </si>
  <si>
    <t>Optiplex 7020</t>
  </si>
  <si>
    <t>March 23, 2025</t>
  </si>
  <si>
    <t>July 17, 2028</t>
  </si>
  <si>
    <t>October 9, 2014</t>
  </si>
  <si>
    <t>October 10, 2017</t>
  </si>
  <si>
    <t>May 21, 2017</t>
  </si>
  <si>
    <t>May 24, 2020</t>
  </si>
  <si>
    <t>August 26, 2015</t>
  </si>
  <si>
    <t>August 27, 2018</t>
  </si>
  <si>
    <t>December 25, 2025</t>
  </si>
  <si>
    <t>January 27, 2029</t>
  </si>
  <si>
    <t>July 16, 2028</t>
  </si>
  <si>
    <t>250 9G</t>
  </si>
  <si>
    <t>September 12, 2023</t>
  </si>
  <si>
    <t>September 11, 2024</t>
  </si>
  <si>
    <t>July 3, 2028</t>
  </si>
  <si>
    <t>July 11, 2023</t>
  </si>
  <si>
    <t>August 23, 2026</t>
  </si>
  <si>
    <t>March 23, 2028</t>
  </si>
  <si>
    <t>Optiplex7020</t>
  </si>
  <si>
    <t>August 22, 2028</t>
  </si>
  <si>
    <t>August 25, 2015</t>
  </si>
  <si>
    <t>E2020H</t>
  </si>
  <si>
    <t>November 15, 2020</t>
  </si>
  <si>
    <t>November 16, 2023</t>
  </si>
  <si>
    <t>July 5, 2022</t>
  </si>
  <si>
    <t>6J9YR24</t>
  </si>
  <si>
    <t>January 22, 2029</t>
  </si>
  <si>
    <t>GHY-Print-0001</t>
  </si>
  <si>
    <t>GHY-Print-0002</t>
  </si>
  <si>
    <t>GHY-Print-0003</t>
  </si>
  <si>
    <t>GHY-Print-0004</t>
  </si>
  <si>
    <t>GHY-Print-0005</t>
  </si>
  <si>
    <t>GHY-Print-0006</t>
  </si>
  <si>
    <t>GHY-Print-0007</t>
  </si>
  <si>
    <t>GHY-Print-0008</t>
  </si>
  <si>
    <t>GHY-Print-0009</t>
  </si>
  <si>
    <t>GHY-Print-0010</t>
  </si>
  <si>
    <t>GHY-Print-0011</t>
  </si>
  <si>
    <t>GHY-Print-0012</t>
  </si>
  <si>
    <t>GHY-Print-0013</t>
  </si>
  <si>
    <t>GHY-Print-0014</t>
  </si>
  <si>
    <t>GHY-Print-0015</t>
  </si>
  <si>
    <t>GHY-Print-0016</t>
  </si>
  <si>
    <t>GHY-Print-0017</t>
  </si>
  <si>
    <t>GHY-Print-0018</t>
  </si>
  <si>
    <t>GHY-Print-0019</t>
  </si>
  <si>
    <t>Leaserjet MFP140</t>
  </si>
  <si>
    <t>February 27, 2023</t>
  </si>
  <si>
    <t>February 26, 2026</t>
  </si>
  <si>
    <t>Employee Department</t>
  </si>
  <si>
    <t>Designation</t>
  </si>
  <si>
    <t>Employee Grade</t>
  </si>
  <si>
    <t>CPY0032</t>
  </si>
  <si>
    <t>Print issue</t>
  </si>
  <si>
    <t>Store SAP Issue</t>
  </si>
  <si>
    <t>Amit Singh</t>
  </si>
  <si>
    <t xml:space="preserve">SAP issue. Related printing issue. </t>
  </si>
  <si>
    <t>PPT not opening in Quality</t>
  </si>
  <si>
    <t xml:space="preserve">Nayan Das </t>
  </si>
  <si>
    <t>Alpona Barua</t>
  </si>
  <si>
    <t>MS office issue</t>
  </si>
  <si>
    <t>Laptop not working in Account</t>
  </si>
  <si>
    <t>Hanging issue</t>
  </si>
  <si>
    <t>Fire estingusher and data centre temp solu.</t>
  </si>
  <si>
    <t>MxTek and Tech Guru</t>
  </si>
  <si>
    <t xml:space="preserve">Discussion has been done with vendor and damo will be done tomorrow. </t>
  </si>
  <si>
    <t>Weight Bridge printer required</t>
  </si>
  <si>
    <t>Nayan Das/Bablu Karmakar</t>
  </si>
  <si>
    <t xml:space="preserve">Need to buy new leaser printer. PO to be create. </t>
  </si>
  <si>
    <t>Weight PC issue</t>
  </si>
  <si>
    <t xml:space="preserve">Need to be replaced new PC </t>
  </si>
  <si>
    <t>GHY-0001</t>
  </si>
  <si>
    <t>Critical</t>
  </si>
  <si>
    <t>Down</t>
  </si>
  <si>
    <t>Printer head issue</t>
  </si>
  <si>
    <t>GHY-0002</t>
  </si>
  <si>
    <t>Up</t>
  </si>
  <si>
    <t>System Working slow need to be upgrade</t>
  </si>
  <si>
    <t xml:space="preserve">Licence need to be renew. </t>
  </si>
  <si>
    <t>GHY-0003</t>
  </si>
  <si>
    <t>Camera display not showing in visiter room</t>
  </si>
  <si>
    <t>Visitor Room</t>
  </si>
  <si>
    <t xml:space="preserve">Camera software Issue. </t>
  </si>
  <si>
    <t>CPY0033</t>
  </si>
  <si>
    <t>CPY0034</t>
  </si>
  <si>
    <t>CPY0035</t>
  </si>
  <si>
    <t>CPY0036</t>
  </si>
  <si>
    <t>CPY0037</t>
  </si>
  <si>
    <t>CPY0038</t>
  </si>
  <si>
    <t>CPY0039</t>
  </si>
  <si>
    <t>CPY0040</t>
  </si>
  <si>
    <t>Mail not working</t>
  </si>
  <si>
    <t>Nishant Kolita</t>
  </si>
  <si>
    <t>Out going mail issue . Need to be configure by HO team.</t>
  </si>
  <si>
    <t>CPY0041</t>
  </si>
  <si>
    <t>cabling damaged</t>
  </si>
  <si>
    <t xml:space="preserve">Newly cabling done and working. </t>
  </si>
  <si>
    <t>Meeting with Vertib for environmental monitoring</t>
  </si>
  <si>
    <t xml:space="preserve">Quatation will be sending after providing thwe load count. </t>
  </si>
  <si>
    <t>CPY0042</t>
  </si>
  <si>
    <t>EMP ID</t>
  </si>
  <si>
    <t>N.P. Singh</t>
  </si>
  <si>
    <t>Sitansu Sekhar Das</t>
  </si>
  <si>
    <t>Dhanmani Kalita</t>
  </si>
  <si>
    <t>Ajit Kumar Singh</t>
  </si>
  <si>
    <t>Gitima Kalita Kumari</t>
  </si>
  <si>
    <t>Angshu Pronit Mahanta</t>
  </si>
  <si>
    <t>Jintu Moni Das</t>
  </si>
  <si>
    <t>Yogesh Kumar Chaudhry</t>
  </si>
  <si>
    <t>Durga Madhav Panigrahi</t>
  </si>
  <si>
    <t>Rohit Kumar Verma</t>
  </si>
  <si>
    <t>Suraj Sharma</t>
  </si>
  <si>
    <t>Debajit Kalita</t>
  </si>
  <si>
    <t>Monoj Kumar Choudhury</t>
  </si>
  <si>
    <t>Narender Singh</t>
  </si>
  <si>
    <t>Neeraj Kumar</t>
  </si>
  <si>
    <t>Amit Kumar Singh</t>
  </si>
  <si>
    <t>Aswini Kumar Nayak</t>
  </si>
  <si>
    <t>Ankur Jyoti Das</t>
  </si>
  <si>
    <t>Alok Choudhury</t>
  </si>
  <si>
    <t>M. C. SARMAH</t>
  </si>
  <si>
    <t>Raju Kumar Yadav</t>
  </si>
  <si>
    <t>Saptarshi Das</t>
  </si>
  <si>
    <t>Jayanta Kumar Goswami</t>
  </si>
  <si>
    <t>Dipjyoti Kalita</t>
  </si>
  <si>
    <t>Tapan Goswami</t>
  </si>
  <si>
    <t>Diganta Goswami</t>
  </si>
  <si>
    <t>Ratul Das</t>
  </si>
  <si>
    <t>Satyen Verma</t>
  </si>
  <si>
    <t>Kalyan Kalita</t>
  </si>
  <si>
    <t>Pranab Jyoti Mahanta</t>
  </si>
  <si>
    <t>Mrigam Jyoti Bhuyan</t>
  </si>
  <si>
    <t>Administration</t>
  </si>
  <si>
    <t>DESPATCH</t>
  </si>
  <si>
    <t>ACCOUNTS</t>
  </si>
  <si>
    <t>Purchase</t>
  </si>
  <si>
    <t>MAINTENANCE</t>
  </si>
  <si>
    <t>Quality Control</t>
  </si>
  <si>
    <t>EDP</t>
  </si>
  <si>
    <t>Plant Head</t>
  </si>
  <si>
    <t>Sr. Manager- Despatch</t>
  </si>
  <si>
    <t>Sr. Manager- Accounts</t>
  </si>
  <si>
    <t>Sr. Manager- Purchase</t>
  </si>
  <si>
    <t>ASSISTANT MANAGER  MAINTENANCE</t>
  </si>
  <si>
    <t>ACCOUNTS OFFICER</t>
  </si>
  <si>
    <t>Sr. Manager- HR cum LWO</t>
  </si>
  <si>
    <t>ACCOUNTS EXECUTIVE</t>
  </si>
  <si>
    <t>Store Manager</t>
  </si>
  <si>
    <t>Asstt Manager- Quality Control</t>
  </si>
  <si>
    <t>Management Trainee</t>
  </si>
  <si>
    <t>OFFICER - HR &amp; ADMIN</t>
  </si>
  <si>
    <t>Trainee</t>
  </si>
  <si>
    <t>HR EXECUTIVE</t>
  </si>
  <si>
    <t>Senior Officer-HR</t>
  </si>
  <si>
    <t>IT-Manager</t>
  </si>
  <si>
    <t>Dy.Manager- HR</t>
  </si>
  <si>
    <t>Sr. Manager- QC</t>
  </si>
  <si>
    <t>Plant Commercial Head</t>
  </si>
  <si>
    <t>DY. MANAGER - MAINTENANCE</t>
  </si>
  <si>
    <t>DISPATCH EXECUTIVE</t>
  </si>
  <si>
    <t>ELECTRICAL ENGINEER</t>
  </si>
  <si>
    <t>CHIEF MANAGER- ENGINEERING</t>
  </si>
  <si>
    <t>DGM (WORKS)</t>
  </si>
  <si>
    <t>SHIFT IN-CHARGE</t>
  </si>
  <si>
    <t>STORE ASSTT.</t>
  </si>
  <si>
    <t>Plant HR Head</t>
  </si>
  <si>
    <t>JR. OFFICER-HR</t>
  </si>
  <si>
    <t>Executive- HR</t>
  </si>
  <si>
    <t>GM(Works)</t>
  </si>
  <si>
    <t>DY.MANAGER (QUALITY AND PRODUCTION)</t>
  </si>
  <si>
    <t>STORE ASSISTANT</t>
  </si>
  <si>
    <t>CASHIER</t>
  </si>
  <si>
    <t>DEO-PRODUCTION</t>
  </si>
  <si>
    <t>SR. DEO - PRODUCTION</t>
  </si>
  <si>
    <t>ASST.MGR(DESPATCH)</t>
  </si>
  <si>
    <t>SR. EXECUTIVE- EDP</t>
  </si>
  <si>
    <t>EXECUTIVE -EDP</t>
  </si>
  <si>
    <t>BLOCK BOARD SECTION INCHARGE</t>
  </si>
  <si>
    <t>INCHARGE- YARD</t>
  </si>
  <si>
    <t>Sr. Executive (Purchase)</t>
  </si>
  <si>
    <t>Chemist</t>
  </si>
  <si>
    <t>SUPERVISOR-QC</t>
  </si>
  <si>
    <t>Ananta Das</t>
  </si>
  <si>
    <t>CP12P24</t>
  </si>
  <si>
    <t>PTI333</t>
  </si>
  <si>
    <t>July 20, 2028</t>
  </si>
  <si>
    <t>GHY-DESK-0047</t>
  </si>
  <si>
    <t>Server</t>
  </si>
  <si>
    <t>CPY0043</t>
  </si>
  <si>
    <t>CPY0044</t>
  </si>
  <si>
    <t>CPY0045</t>
  </si>
  <si>
    <t>CPY0046</t>
  </si>
  <si>
    <t>CPY0047</t>
  </si>
  <si>
    <t>CPY0048</t>
  </si>
  <si>
    <t>CPY0049</t>
  </si>
  <si>
    <t>CPY0050</t>
  </si>
  <si>
    <t>CPY0051</t>
  </si>
  <si>
    <t>CPY0052</t>
  </si>
  <si>
    <t>CPY0053</t>
  </si>
  <si>
    <t>CPY0054</t>
  </si>
  <si>
    <t>CPY0055</t>
  </si>
  <si>
    <t>CPY0056</t>
  </si>
  <si>
    <t>CPY0057</t>
  </si>
  <si>
    <t>CPY0058</t>
  </si>
  <si>
    <t>CPY0059</t>
  </si>
  <si>
    <t>CPY0060</t>
  </si>
  <si>
    <t>CPY0061</t>
  </si>
  <si>
    <t>CPY0062</t>
  </si>
  <si>
    <t>CPY0063</t>
  </si>
  <si>
    <t>CPY0064</t>
  </si>
  <si>
    <t>CPY0065</t>
  </si>
  <si>
    <t>CPY0066</t>
  </si>
  <si>
    <t>CPY0067</t>
  </si>
  <si>
    <t>CPY0068</t>
  </si>
  <si>
    <t>CPY0069</t>
  </si>
  <si>
    <t>CPY0070</t>
  </si>
  <si>
    <t>CPY0071</t>
  </si>
  <si>
    <t>CPY0072</t>
  </si>
  <si>
    <t>CPY0073</t>
  </si>
  <si>
    <t>CPY0074</t>
  </si>
  <si>
    <t>CPY0075</t>
  </si>
  <si>
    <t>CPY0076</t>
  </si>
  <si>
    <t>CPY0077</t>
  </si>
  <si>
    <t>CPY0078</t>
  </si>
  <si>
    <t>Printing not working</t>
  </si>
  <si>
    <t xml:space="preserve">Sap Issue </t>
  </si>
  <si>
    <t>Dhanmoni kalita</t>
  </si>
  <si>
    <t>Printer error showing</t>
  </si>
  <si>
    <t>SAP issue.</t>
  </si>
  <si>
    <t>Laptop Battery issue</t>
  </si>
  <si>
    <t>Angshu/Amit</t>
  </si>
  <si>
    <t>Battery sent to guwahati for replacement</t>
  </si>
  <si>
    <t>Outlook rule creation for mail</t>
  </si>
  <si>
    <t>Rohit verma</t>
  </si>
  <si>
    <t>Outlook mail configuration</t>
  </si>
  <si>
    <t>QR Code</t>
  </si>
  <si>
    <t>Bar Code</t>
  </si>
  <si>
    <t>Intercom Not Working</t>
  </si>
  <si>
    <t>Tapan Dey</t>
  </si>
  <si>
    <t>Intercom Sound Problem</t>
  </si>
  <si>
    <t>Laptop data backup</t>
  </si>
  <si>
    <t xml:space="preserve"> </t>
  </si>
  <si>
    <t>Partha thakuria</t>
  </si>
  <si>
    <t>Data backup</t>
  </si>
  <si>
    <t>Power point issue</t>
  </si>
  <si>
    <t>Ajit Singh</t>
  </si>
  <si>
    <t>PPT not opening</t>
  </si>
  <si>
    <t>Laptop display issue</t>
  </si>
  <si>
    <t>high</t>
  </si>
  <si>
    <t>Sent to service</t>
  </si>
  <si>
    <t>Hot Press Login issue</t>
  </si>
  <si>
    <t>Hot Press</t>
  </si>
  <si>
    <t>Server Login issue</t>
  </si>
  <si>
    <t>Gmail configuration</t>
  </si>
  <si>
    <t>Login Issue</t>
  </si>
  <si>
    <t>Power socket Extension</t>
  </si>
  <si>
    <t>Electrical socket Extension</t>
  </si>
  <si>
    <t>PDF Editing issue</t>
  </si>
  <si>
    <t>Jayanta Goswami</t>
  </si>
  <si>
    <t>PDF converting done</t>
  </si>
  <si>
    <t>GHY-SER-0001</t>
  </si>
  <si>
    <t>GHY-SER-0002</t>
  </si>
  <si>
    <t>GHY-SER-0003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</si>
</sst>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4009]dd/mm/yyyy;@"/>
  </numFmts>
  <fonts count="18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0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sz val="9"/>
      <color rgb="FF0E0E0E"/>
      <name val="Microsoft Sans Serif"/>
      <family val="2"/>
    </font>
    <font>
      <sz val="9"/>
      <name val="Microsoft Sans Serif"/>
      <family val="2"/>
    </font>
    <font>
      <sz val="9"/>
      <color rgb="FF222A44"/>
      <name val="Roboto"/>
    </font>
    <font>
      <sz val="9"/>
      <name val="Calibri"/>
      <family val="2"/>
      <scheme val="minor"/>
    </font>
    <font>
      <b/>
      <sz val="11"/>
      <color rgb="FFFFFFFF"/>
      <name val="Calibri"/>
      <family val="2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6"/>
      <color theme="1"/>
      <name val="Calibri"/>
      <family val="2"/>
      <scheme val="minor"/>
    </font>
    <font>
      <b/>
      <sz val="12"/>
      <name val="Calibri"/>
      <family val="2"/>
    </font>
    <font>
      <b/>
      <sz val="11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theme="1"/>
      <name val="IDAutomationHC39M Free Version"/>
      <family val="1"/>
      <charset val="2"/>
    </font>
  </fonts>
  <fills count="13">
    <fill>
      <patternFill patternType="none"/>
    </fill>
    <fill>
      <patternFill patternType="gray125"/>
    </fill>
    <fill>
      <patternFill patternType="solid">
        <fgColor theme="8"/>
      </patternFill>
    </fill>
    <fill>
      <patternFill patternType="solid">
        <fgColor theme="8" tint="0.39997558519241921"/>
        <bgColor indexed="65"/>
      </patternFill>
    </fill>
    <fill>
      <patternFill patternType="solid">
        <fgColor rgb="FFFFEB9C"/>
      </patternFill>
    </fill>
    <fill>
      <patternFill patternType="solid">
        <fgColor rgb="FFC00000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14" fontId="0" fillId="0" borderId="1" xfId="0" applyNumberFormat="1" applyBorder="1"/>
    <xf numFmtId="14" fontId="8" fillId="0" borderId="2" xfId="0" applyNumberFormat="1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14" fontId="5" fillId="0" borderId="2" xfId="0" applyNumberFormat="1" applyFont="1" applyBorder="1" applyAlignment="1">
      <alignment horizontal="center"/>
    </xf>
    <xf numFmtId="14" fontId="3" fillId="0" borderId="2" xfId="0" applyNumberFormat="1" applyFont="1" applyBorder="1" applyAlignment="1">
      <alignment horizontal="center"/>
    </xf>
    <xf numFmtId="14" fontId="6" fillId="0" borderId="0" xfId="0" applyNumberFormat="1" applyFont="1" applyAlignment="1">
      <alignment horizontal="center"/>
    </xf>
    <xf numFmtId="0" fontId="0" fillId="0" borderId="1" xfId="0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0" fillId="0" borderId="0" xfId="0" applyProtection="1">
      <protection locked="0"/>
    </xf>
    <xf numFmtId="0" fontId="0" fillId="0" borderId="0" xfId="0" applyAlignment="1">
      <alignment horizontal="center"/>
    </xf>
    <xf numFmtId="0" fontId="11" fillId="4" borderId="1" xfId="3" applyFont="1" applyBorder="1" applyAlignment="1">
      <alignment horizontal="center"/>
    </xf>
    <xf numFmtId="0" fontId="12" fillId="7" borderId="1" xfId="0" applyFont="1" applyFill="1" applyBorder="1" applyAlignment="1">
      <alignment horizontal="center"/>
    </xf>
    <xf numFmtId="0" fontId="13" fillId="0" borderId="0" xfId="0" applyFont="1" applyProtection="1">
      <protection locked="0"/>
    </xf>
    <xf numFmtId="0" fontId="9" fillId="5" borderId="1" xfId="0" applyFont="1" applyFill="1" applyBorder="1" applyAlignment="1" applyProtection="1">
      <alignment horizontal="center"/>
      <protection locked="0"/>
    </xf>
    <xf numFmtId="0" fontId="15" fillId="3" borderId="1" xfId="2" applyNumberFormat="1" applyFont="1" applyBorder="1" applyAlignment="1" applyProtection="1">
      <alignment horizontal="center"/>
      <protection locked="0"/>
    </xf>
    <xf numFmtId="0" fontId="1" fillId="3" borderId="0" xfId="2"/>
    <xf numFmtId="0" fontId="1" fillId="3" borderId="10" xfId="2" applyNumberFormat="1" applyBorder="1" applyAlignment="1" applyProtection="1">
      <protection locked="0"/>
    </xf>
    <xf numFmtId="0" fontId="0" fillId="0" borderId="6" xfId="0" applyBorder="1" applyAlignment="1">
      <alignment horizontal="center"/>
    </xf>
    <xf numFmtId="0" fontId="2" fillId="8" borderId="1" xfId="0" applyFont="1" applyFill="1" applyBorder="1"/>
    <xf numFmtId="0" fontId="15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3" xfId="0" applyBorder="1" applyAlignment="1">
      <alignment horizontal="center"/>
    </xf>
    <xf numFmtId="0" fontId="15" fillId="12" borderId="1" xfId="0" applyFont="1" applyFill="1" applyBorder="1" applyAlignment="1" applyProtection="1">
      <alignment horizontal="center" vertical="center" wrapText="1"/>
      <protection locked="0"/>
    </xf>
    <xf numFmtId="0" fontId="0" fillId="12" borderId="1" xfId="0" applyFill="1" applyBorder="1" applyProtection="1">
      <protection locked="0"/>
    </xf>
    <xf numFmtId="14" fontId="0" fillId="0" borderId="1" xfId="0" applyNumberFormat="1" applyBorder="1" applyAlignment="1" applyProtection="1">
      <alignment horizontal="center"/>
      <protection locked="0"/>
    </xf>
    <xf numFmtId="0" fontId="1" fillId="3" borderId="0" xfId="2" applyNumberFormat="1" applyBorder="1" applyAlignment="1" applyProtection="1">
      <alignment horizontal="center"/>
      <protection locked="0"/>
    </xf>
    <xf numFmtId="0" fontId="1" fillId="3" borderId="0" xfId="2" applyNumberFormat="1" applyBorder="1" applyAlignment="1" applyProtection="1">
      <protection locked="0"/>
    </xf>
    <xf numFmtId="0" fontId="1" fillId="3" borderId="11" xfId="2" applyNumberFormat="1" applyBorder="1" applyAlignment="1" applyProtection="1">
      <protection locked="0"/>
    </xf>
    <xf numFmtId="0" fontId="1" fillId="3" borderId="0" xfId="2" applyBorder="1"/>
    <xf numFmtId="0" fontId="1" fillId="3" borderId="0" xfId="2" applyNumberFormat="1" applyBorder="1" applyProtection="1">
      <protection locked="0"/>
    </xf>
    <xf numFmtId="0" fontId="1" fillId="3" borderId="12" xfId="2" applyNumberFormat="1" applyBorder="1" applyAlignment="1" applyProtection="1">
      <protection locked="0"/>
    </xf>
    <xf numFmtId="0" fontId="1" fillId="3" borderId="13" xfId="2" applyNumberFormat="1" applyBorder="1" applyProtection="1">
      <protection locked="0"/>
    </xf>
    <xf numFmtId="0" fontId="1" fillId="3" borderId="14" xfId="2" applyNumberFormat="1" applyBorder="1" applyAlignment="1" applyProtection="1">
      <protection locked="0"/>
    </xf>
    <xf numFmtId="0" fontId="15" fillId="3" borderId="1" xfId="2" applyNumberFormat="1" applyFont="1" applyBorder="1" applyAlignment="1" applyProtection="1">
      <protection locked="0"/>
    </xf>
    <xf numFmtId="0" fontId="15" fillId="3" borderId="1" xfId="2" applyFont="1" applyBorder="1" applyAlignment="1" applyProtection="1">
      <alignment horizontal="center"/>
      <protection locked="0"/>
    </xf>
    <xf numFmtId="0" fontId="15" fillId="3" borderId="2" xfId="2" applyFont="1" applyBorder="1" applyAlignment="1" applyProtection="1">
      <alignment horizontal="center"/>
      <protection locked="0"/>
    </xf>
    <xf numFmtId="164" fontId="0" fillId="0" borderId="0" xfId="0" applyNumberFormat="1"/>
    <xf numFmtId="0" fontId="0" fillId="0" borderId="1" xfId="0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7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wrapText="1"/>
    </xf>
    <xf numFmtId="0" fontId="14" fillId="6" borderId="4" xfId="0" applyFont="1" applyFill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/>
    </xf>
    <xf numFmtId="0" fontId="14" fillId="10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>
      <alignment horizontal="center" vertical="center"/>
    </xf>
    <xf numFmtId="0" fontId="14" fillId="9" borderId="3" xfId="0" applyFont="1" applyFill="1" applyBorder="1" applyAlignment="1" applyProtection="1">
      <alignment horizontal="center" vertical="center"/>
      <protection locked="0"/>
    </xf>
    <xf numFmtId="164" fontId="14" fillId="9" borderId="3" xfId="0" applyNumberFormat="1" applyFont="1" applyFill="1" applyBorder="1" applyAlignment="1">
      <alignment horizontal="center" vertical="center"/>
    </xf>
    <xf numFmtId="0" fontId="14" fillId="9" borderId="5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10" fillId="2" borderId="7" xfId="1" applyNumberFormat="1" applyFont="1" applyBorder="1" applyAlignment="1" applyProtection="1">
      <alignment horizontal="center" vertical="center"/>
      <protection locked="0"/>
    </xf>
    <xf numFmtId="0" fontId="10" fillId="2" borderId="8" xfId="1" applyNumberFormat="1" applyFont="1" applyBorder="1" applyAlignment="1" applyProtection="1">
      <alignment horizontal="center" vertical="center"/>
      <protection locked="0"/>
    </xf>
    <xf numFmtId="0" fontId="10" fillId="2" borderId="9" xfId="1" applyNumberFormat="1" applyFont="1" applyBorder="1" applyAlignment="1" applyProtection="1">
      <alignment horizontal="center" vertical="center"/>
      <protection locked="0"/>
    </xf>
    <xf numFmtId="0" fontId="10" fillId="2" borderId="10" xfId="1" applyNumberFormat="1" applyFont="1" applyBorder="1" applyAlignment="1" applyProtection="1">
      <alignment horizontal="center" vertical="center"/>
      <protection locked="0"/>
    </xf>
    <xf numFmtId="0" fontId="10" fillId="2" borderId="0" xfId="1" applyNumberFormat="1" applyFont="1" applyBorder="1" applyAlignment="1" applyProtection="1">
      <alignment horizontal="center" vertical="center"/>
      <protection locked="0"/>
    </xf>
    <xf numFmtId="0" fontId="10" fillId="2" borderId="11" xfId="1" applyNumberFormat="1" applyFont="1" applyBorder="1" applyAlignment="1" applyProtection="1">
      <alignment horizontal="center" vertical="center"/>
      <protection locked="0"/>
    </xf>
    <xf numFmtId="0" fontId="15" fillId="7" borderId="1" xfId="0" applyFont="1" applyFill="1" applyBorder="1" applyAlignment="1">
      <alignment horizontal="center" vertical="center"/>
    </xf>
    <xf numFmtId="0" fontId="16" fillId="11" borderId="0" xfId="0" applyFont="1" applyFill="1" applyAlignment="1">
      <alignment horizontal="center" vertical="center"/>
    </xf>
    <xf numFmtId="0" fontId="15" fillId="7" borderId="15" xfId="0" applyFont="1" applyFill="1" applyBorder="1" applyAlignment="1">
      <alignment horizontal="center" vertical="center" wrapText="1"/>
    </xf>
    <xf numFmtId="0" fontId="15" fillId="7" borderId="16" xfId="0" applyFont="1" applyFill="1" applyBorder="1" applyAlignment="1">
      <alignment horizontal="center" vertical="center" wrapText="1"/>
    </xf>
  </cellXfs>
  <cellStyles count="4">
    <cellStyle name="60% - Accent5" xfId="2" builtinId="48"/>
    <cellStyle name="Accent5" xfId="1" builtinId="45"/>
    <cellStyle name="Neutral" xfId="3" builtinId="28"/>
    <cellStyle name="Normal" xfId="0" builtinId="0"/>
  </cellStyles>
  <dxfs count="36">
    <dxf>
      <fill>
        <patternFill>
          <bgColor theme="9" tint="0.79998168889431442"/>
        </patternFill>
      </fill>
    </dxf>
    <dxf>
      <fill>
        <patternFill>
          <bgColor rgb="FF00B0F0"/>
        </patternFill>
      </fill>
    </dxf>
    <dxf>
      <fill>
        <patternFill>
          <bgColor theme="8" tint="-0.24994659260841701"/>
        </patternFill>
      </fill>
    </dxf>
    <dxf>
      <fill>
        <patternFill>
          <bgColor theme="9" tint="0.39994506668294322"/>
        </patternFill>
      </fill>
    </dxf>
    <dxf>
      <fill>
        <patternFill>
          <bgColor theme="2" tint="-0.24994659260841701"/>
        </patternFill>
      </fill>
    </dxf>
    <dxf>
      <fill>
        <patternFill>
          <bgColor rgb="FF00B0F0"/>
        </patternFill>
      </fill>
    </dxf>
    <dxf>
      <fill>
        <patternFill>
          <bgColor theme="9" tint="-0.24994659260841701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center" textRotation="0" wrapText="0" indent="0" justifyLastLine="0" shrinkToFit="0" readingOrder="0"/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Calibri"/>
        <scheme val="none"/>
      </font>
      <fill>
        <patternFill patternType="solid">
          <fgColor indexed="64"/>
          <bgColor theme="6" tint="0.7999816888943144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0" hidden="0"/>
    </dxf>
  </dxfs>
  <tableStyles count="0" defaultTableStyle="TableStyleMedium9" defaultPivotStyle="PivotStyleLight16"/>
  <colors>
    <mruColors>
      <color rgb="FFFF5050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Metric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"/>
          <c:y val="9.4074074074074077E-3"/>
          <c:w val="0.44825925925925925"/>
          <c:h val="0.89651851851851849"/>
        </c:manualLayout>
      </c:layout>
      <c:pieChart>
        <c:varyColors val="1"/>
        <c:ser>
          <c:idx val="3"/>
          <c:order val="0"/>
          <c:tx>
            <c:strRef>
              <c:f>Dashboard!$D$3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2CE6-4612-874C-85E2F8EA5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2CE6-4612-874C-85E2F8EA5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2CE6-4612-874C-85E2F8EA52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Dashboard!$C$4:$C$6</c:f>
              <c:strCache>
                <c:ptCount val="3"/>
                <c:pt idx="0">
                  <c:v>Total Assets</c:v>
                </c:pt>
                <c:pt idx="1">
                  <c:v>Active Assets</c:v>
                </c:pt>
                <c:pt idx="2">
                  <c:v>Repair Assets</c:v>
                </c:pt>
              </c:strCache>
            </c:strRef>
          </c:cat>
          <c:val>
            <c:numRef>
              <c:f>Dashboard!$D$4:$D$6</c:f>
              <c:numCache>
                <c:formatCode>General</c:formatCode>
                <c:ptCount val="3"/>
                <c:pt idx="0">
                  <c:v>1.0198019801980198</c:v>
                </c:pt>
                <c:pt idx="1">
                  <c:v>101</c:v>
                </c:pt>
                <c:pt idx="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CE6-4612-874C-85E2F8EA5289}"/>
            </c:ext>
          </c:extLst>
        </c:ser>
        <c:ser>
          <c:idx val="2"/>
          <c:order val="1"/>
          <c:tx>
            <c:strRef>
              <c:f>Dashboard!$D$3</c:f>
              <c:strCache>
                <c:ptCount val="1"/>
                <c:pt idx="0">
                  <c:v>Value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2CE6-4612-874C-85E2F8EA52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Dashboard!$C$4:$C$6</c:f>
              <c:strCache>
                <c:ptCount val="3"/>
                <c:pt idx="0">
                  <c:v>Total Assets</c:v>
                </c:pt>
                <c:pt idx="1">
                  <c:v>Active Assets</c:v>
                </c:pt>
                <c:pt idx="2">
                  <c:v>Repair Assets</c:v>
                </c:pt>
              </c:strCache>
            </c:strRef>
          </c:cat>
          <c:val>
            <c:numRef>
              <c:f>Dashboard!$D$4</c:f>
              <c:numCache>
                <c:formatCode>General</c:formatCode>
                <c:ptCount val="1"/>
                <c:pt idx="0">
                  <c:v>1.0198019801980198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CE6-4612-874C-85E2F8EA5289}"/>
            </c:ext>
          </c:extLst>
        </c:ser>
        <c:ser>
          <c:idx val="1"/>
          <c:order val="2"/>
          <c:tx>
            <c:strRef>
              <c:f>Dashboard!$I$3</c:f>
              <c:strCache>
                <c:ptCount val="1"/>
                <c:pt idx="0">
                  <c:v>Count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2CE6-4612-874C-85E2F8EA5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2CE6-4612-874C-85E2F8EA5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2CE6-4612-874C-85E2F8EA5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2CE6-4612-874C-85E2F8EA52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Dashboard!$C$4:$C$6</c:f>
              <c:strCache>
                <c:ptCount val="3"/>
                <c:pt idx="0">
                  <c:v>Total Assets</c:v>
                </c:pt>
                <c:pt idx="1">
                  <c:v>Active Assets</c:v>
                </c:pt>
                <c:pt idx="2">
                  <c:v>Repair Assets</c:v>
                </c:pt>
              </c:strCache>
            </c:strRef>
          </c:cat>
          <c:val>
            <c:numRef>
              <c:f>Dashboard!$I$4:$I$7</c:f>
              <c:numCache>
                <c:formatCode>General</c:formatCode>
                <c:ptCount val="4"/>
                <c:pt idx="0">
                  <c:v>101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2-2CE6-4612-874C-85E2F8EA5289}"/>
            </c:ext>
          </c:extLst>
        </c:ser>
        <c:ser>
          <c:idx val="0"/>
          <c:order val="3"/>
          <c:tx>
            <c:strRef>
              <c:f>Dashboard!$I$3</c:f>
              <c:strCache>
                <c:ptCount val="1"/>
                <c:pt idx="0">
                  <c:v>Count</c:v>
                </c:pt>
              </c:strCache>
            </c:strRef>
          </c:tx>
          <c:explosion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4-2CE6-4612-874C-85E2F8EA5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2CE6-4612-874C-85E2F8EA5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2CE6-4612-874C-85E2F8EA5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2CE6-4612-874C-85E2F8EA5289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Dashboard!$C$4:$C$6</c:f>
              <c:strCache>
                <c:ptCount val="3"/>
                <c:pt idx="0">
                  <c:v>Total Assets</c:v>
                </c:pt>
                <c:pt idx="1">
                  <c:v>Active Assets</c:v>
                </c:pt>
                <c:pt idx="2">
                  <c:v>Repair Assets</c:v>
                </c:pt>
              </c:strCache>
            </c:strRef>
          </c:cat>
          <c:val>
            <c:numRef>
              <c:f>Dashboard!$I$4:$I$7</c:f>
              <c:numCache>
                <c:formatCode>General</c:formatCode>
                <c:ptCount val="4"/>
                <c:pt idx="0">
                  <c:v>101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B-2CE6-4612-874C-85E2F8EA528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egendEntry>
        <c:idx val="3"/>
        <c:delete val="1"/>
      </c:legendEntry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1"/>
        <c:ser>
          <c:idx val="0"/>
          <c:order val="0"/>
          <c:tx>
            <c:strRef>
              <c:f>Dashboard!$I$3</c:f>
              <c:strCache>
                <c:ptCount val="1"/>
                <c:pt idx="0">
                  <c:v>Count</c:v>
                </c:pt>
              </c:strCache>
            </c:strRef>
          </c:tx>
          <c:invertIfNegative val="1"/>
          <c:dPt>
            <c:idx val="0"/>
            <c:invertIfNegative val="1"/>
            <c:bubble3D val="0"/>
            <c:spPr>
              <a:solidFill>
                <a:schemeClr val="accent1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6ED9-417A-9B8C-906C583D6306}"/>
              </c:ext>
            </c:extLst>
          </c:dPt>
          <c:dPt>
            <c:idx val="1"/>
            <c:invertIfNegative val="1"/>
            <c:bubble3D val="0"/>
            <c:spPr>
              <a:solidFill>
                <a:schemeClr val="accent2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6ED9-417A-9B8C-906C583D6306}"/>
              </c:ext>
            </c:extLst>
          </c:dPt>
          <c:dPt>
            <c:idx val="2"/>
            <c:invertIfNegative val="1"/>
            <c:bubble3D val="0"/>
            <c:spPr>
              <a:solidFill>
                <a:schemeClr val="accent3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6ED9-417A-9B8C-906C583D6306}"/>
              </c:ext>
            </c:extLst>
          </c:dPt>
          <c:dPt>
            <c:idx val="3"/>
            <c:invertIfNegative val="1"/>
            <c:bubble3D val="0"/>
            <c:spPr>
              <a:solidFill>
                <a:schemeClr val="accent4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6ED9-417A-9B8C-906C583D6306}"/>
              </c:ext>
            </c:extLst>
          </c:dPt>
          <c:dPt>
            <c:idx val="4"/>
            <c:invertIfNegative val="1"/>
            <c:bubble3D val="0"/>
            <c:spPr>
              <a:solidFill>
                <a:schemeClr val="accent5">
                  <a:alpha val="85000"/>
                </a:schemeClr>
              </a:solidFill>
              <a:ln w="9525" cap="flat" cmpd="sng" algn="ctr">
                <a:solidFill>
                  <a:schemeClr val="lt1">
                    <a:alpha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6ED9-417A-9B8C-906C583D630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Dashboard!$H$4:$H$8</c:f>
              <c:strCache>
                <c:ptCount val="5"/>
                <c:pt idx="0">
                  <c:v>Active</c:v>
                </c:pt>
                <c:pt idx="1">
                  <c:v>Repair</c:v>
                </c:pt>
                <c:pt idx="2">
                  <c:v>Retired</c:v>
                </c:pt>
                <c:pt idx="3">
                  <c:v>No Stock</c:v>
                </c:pt>
                <c:pt idx="4">
                  <c:v>In Stock</c:v>
                </c:pt>
              </c:strCache>
            </c:strRef>
          </c:cat>
          <c:val>
            <c:numRef>
              <c:f>Dashboard!$I$4:$I$8</c:f>
              <c:numCache>
                <c:formatCode>General</c:formatCode>
                <c:ptCount val="5"/>
                <c:pt idx="0">
                  <c:v>101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D9-417A-9B8C-906C583D630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overlap val="100"/>
        <c:axId val="472589352"/>
        <c:axId val="472597936"/>
      </c:barChart>
      <c:catAx>
        <c:axId val="4725893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597936"/>
        <c:crosses val="autoZero"/>
        <c:auto val="1"/>
        <c:lblAlgn val="ctr"/>
        <c:lblOffset val="100"/>
        <c:noMultiLvlLbl val="1"/>
      </c:catAx>
      <c:valAx>
        <c:axId val="47259793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crossAx val="472589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Asset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5666666666666665"/>
          <c:y val="0.15963910849549587"/>
          <c:w val="0.44825925925925925"/>
          <c:h val="0.7594814113389942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Dashboard!$Q$3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FF505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cat>
            <c:strRef>
              <c:f>Dashboard!$P$4:$P$7</c:f>
              <c:strCache>
                <c:ptCount val="4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Server </c:v>
                </c:pt>
              </c:strCache>
            </c:strRef>
          </c:cat>
          <c:val>
            <c:numRef>
              <c:f>Dashboard!$Q$4:$Q$7</c:f>
              <c:numCache>
                <c:formatCode>General</c:formatCode>
                <c:ptCount val="4"/>
                <c:pt idx="0">
                  <c:v>36</c:v>
                </c:pt>
                <c:pt idx="1">
                  <c:v>44</c:v>
                </c:pt>
                <c:pt idx="2">
                  <c:v>18</c:v>
                </c:pt>
                <c:pt idx="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F3-48B7-8195-4459DC783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72748888"/>
        <c:axId val="472749272"/>
      </c:barChart>
      <c:stockChart>
        <c:ser>
          <c:idx val="3"/>
          <c:order val="1"/>
          <c:tx>
            <c:strRef>
              <c:f>Dashboard!$I$3</c:f>
              <c:strCache>
                <c:ptCount val="1"/>
                <c:pt idx="0">
                  <c:v>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Dashboard!$P$4:$P$7</c:f>
              <c:strCache>
                <c:ptCount val="4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Server </c:v>
                </c:pt>
              </c:strCache>
            </c:strRef>
          </c:cat>
          <c:val>
            <c:numRef>
              <c:f>Dashboard!$I$4:$I$7</c:f>
              <c:numCache>
                <c:formatCode>General</c:formatCode>
                <c:ptCount val="4"/>
                <c:pt idx="0">
                  <c:v>101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BF3-48B7-8195-4459DC78333B}"/>
            </c:ext>
          </c:extLst>
        </c:ser>
        <c:ser>
          <c:idx val="1"/>
          <c:order val="2"/>
          <c:tx>
            <c:strRef>
              <c:f>Dashboard!$I$3</c:f>
              <c:strCache>
                <c:ptCount val="1"/>
                <c:pt idx="0">
                  <c:v>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none"/>
          </c:marker>
          <c:cat>
            <c:strRef>
              <c:f>Dashboard!$P$4:$P$7</c:f>
              <c:strCache>
                <c:ptCount val="4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Server </c:v>
                </c:pt>
              </c:strCache>
            </c:strRef>
          </c:cat>
          <c:val>
            <c:numRef>
              <c:f>Dashboard!$I$4:$I$7</c:f>
              <c:numCache>
                <c:formatCode>General</c:formatCode>
                <c:ptCount val="4"/>
                <c:pt idx="0">
                  <c:v>101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BF3-48B7-8195-4459DC78333B}"/>
            </c:ext>
          </c:extLst>
        </c:ser>
        <c:ser>
          <c:idx val="0"/>
          <c:order val="3"/>
          <c:tx>
            <c:strRef>
              <c:f>Dashboard!$I$3</c:f>
              <c:strCache>
                <c:ptCount val="1"/>
                <c:pt idx="0">
                  <c:v>Count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6"/>
            <c:spPr>
              <a:solidFill>
                <a:schemeClr val="accent6">
                  <a:tint val="58000"/>
                  <a:alpha val="85000"/>
                </a:schemeClr>
              </a:solidFill>
              <a:ln>
                <a:noFill/>
              </a:ln>
              <a:effectLst/>
            </c:spPr>
          </c:marker>
          <c:cat>
            <c:strRef>
              <c:f>Dashboard!$P$4:$P$7</c:f>
              <c:strCache>
                <c:ptCount val="4"/>
                <c:pt idx="0">
                  <c:v>Laptop</c:v>
                </c:pt>
                <c:pt idx="1">
                  <c:v>Desktop</c:v>
                </c:pt>
                <c:pt idx="2">
                  <c:v>Printer</c:v>
                </c:pt>
                <c:pt idx="3">
                  <c:v>Server </c:v>
                </c:pt>
              </c:strCache>
            </c:strRef>
          </c:cat>
          <c:val>
            <c:numRef>
              <c:f>Dashboard!$I$4:$I$7</c:f>
              <c:numCache>
                <c:formatCode>General</c:formatCode>
                <c:ptCount val="4"/>
                <c:pt idx="0">
                  <c:v>101</c:v>
                </c:pt>
                <c:pt idx="1">
                  <c:v>1</c:v>
                </c:pt>
                <c:pt idx="2">
                  <c:v>0</c:v>
                </c:pt>
                <c:pt idx="3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BF3-48B7-8195-4459DC783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15875" cap="flat" cmpd="sng" algn="ctr">
              <a:solidFill>
                <a:schemeClr val="dk1">
                  <a:lumMod val="65000"/>
                  <a:lumOff val="35000"/>
                </a:schemeClr>
              </a:solidFill>
              <a:round/>
            </a:ln>
            <a:effectLst/>
          </c:spPr>
        </c:hiLowLines>
        <c:axId val="472762344"/>
        <c:axId val="472749656"/>
      </c:stockChart>
      <c:catAx>
        <c:axId val="472748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49272"/>
        <c:crosses val="autoZero"/>
        <c:auto val="1"/>
        <c:lblAlgn val="ctr"/>
        <c:lblOffset val="100"/>
        <c:noMultiLvlLbl val="0"/>
      </c:catAx>
      <c:valAx>
        <c:axId val="472749272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48888"/>
        <c:crosses val="autoZero"/>
        <c:crossBetween val="between"/>
      </c:valAx>
      <c:valAx>
        <c:axId val="472749656"/>
        <c:scaling>
          <c:orientation val="minMax"/>
        </c:scaling>
        <c:delete val="0"/>
        <c:axPos val="r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762344"/>
        <c:crosses val="max"/>
        <c:crossBetween val="between"/>
      </c:valAx>
      <c:catAx>
        <c:axId val="472762344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4727496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Dashboard!$R$24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Dashboard!$Q$25:$Q$27</c:f>
              <c:strCache>
                <c:ptCount val="3"/>
                <c:pt idx="0">
                  <c:v>Open</c:v>
                </c:pt>
                <c:pt idx="1">
                  <c:v>Closed</c:v>
                </c:pt>
                <c:pt idx="2">
                  <c:v>Hold</c:v>
                </c:pt>
              </c:strCache>
            </c:strRef>
          </c:cat>
          <c:val>
            <c:numRef>
              <c:f>Dashboard!$R$25:$R$27</c:f>
              <c:numCache>
                <c:formatCode>General</c:formatCode>
                <c:ptCount val="3"/>
                <c:pt idx="0">
                  <c:v>10</c:v>
                </c:pt>
                <c:pt idx="1">
                  <c:v>39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1C9-4800-836A-9366B9A24E5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2650392"/>
        <c:axId val="472650776"/>
      </c:barChart>
      <c:catAx>
        <c:axId val="472650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650776"/>
        <c:crosses val="autoZero"/>
        <c:auto val="1"/>
        <c:lblAlgn val="ctr"/>
        <c:lblOffset val="100"/>
        <c:noMultiLvlLbl val="0"/>
      </c:catAx>
      <c:valAx>
        <c:axId val="472650776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26503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Tickets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5A-4654-BB1C-D98ACA79095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5A-4654-BB1C-D98ACA79095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425A-4654-BB1C-D98ACA79095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425A-4654-BB1C-D98ACA790958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(Dashboard!$B$24,Dashboard!$C$24,Dashboard!$D$24,Dashboard!$E$24)</c:f>
              <c:strCache>
                <c:ptCount val="4"/>
                <c:pt idx="0">
                  <c:v>Total Tickets</c:v>
                </c:pt>
                <c:pt idx="1">
                  <c:v>Open Tickets</c:v>
                </c:pt>
                <c:pt idx="2">
                  <c:v>Closed Tickets</c:v>
                </c:pt>
                <c:pt idx="3">
                  <c:v>Hold</c:v>
                </c:pt>
              </c:strCache>
            </c:strRef>
          </c:cat>
          <c:val>
            <c:numRef>
              <c:f>(Dashboard!$B$25,Dashboard!$C$25,Dashboard!$D$25,Dashboard!$E$25)</c:f>
              <c:numCache>
                <c:formatCode>General</c:formatCode>
                <c:ptCount val="4"/>
                <c:pt idx="0">
                  <c:v>78</c:v>
                </c:pt>
                <c:pt idx="1">
                  <c:v>10</c:v>
                </c:pt>
                <c:pt idx="2">
                  <c:v>39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425A-4654-BB1C-D98ACA790958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Incidents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6.6289314900131527E-2"/>
          <c:y val="0.17771750032206055"/>
          <c:w val="0.89655796150481193"/>
          <c:h val="0.7380310993873493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Dashboard!$G$24</c:f>
              <c:strCache>
                <c:ptCount val="1"/>
                <c:pt idx="0">
                  <c:v>Incidents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Dashboard!$G$25</c:f>
              <c:numCache>
                <c:formatCode>General</c:formatCode>
                <c:ptCount val="1"/>
                <c:pt idx="0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6F-4A6B-865A-72C3C7DD28B6}"/>
            </c:ext>
          </c:extLst>
        </c:ser>
        <c:ser>
          <c:idx val="1"/>
          <c:order val="1"/>
          <c:tx>
            <c:strRef>
              <c:f>Dashboard!$H$24</c:f>
              <c:strCache>
                <c:ptCount val="1"/>
                <c:pt idx="0">
                  <c:v> Up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Dashboard!$H$25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6F-4A6B-865A-72C3C7DD28B6}"/>
            </c:ext>
          </c:extLst>
        </c:ser>
        <c:ser>
          <c:idx val="2"/>
          <c:order val="2"/>
          <c:tx>
            <c:strRef>
              <c:f>Dashboard!$I$24</c:f>
              <c:strCache>
                <c:ptCount val="1"/>
                <c:pt idx="0">
                  <c:v> Down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Dashboard!$I$25</c:f>
              <c:numCache>
                <c:formatCode>General</c:formatCode>
                <c:ptCount val="1"/>
                <c:pt idx="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6F-4A6B-865A-72C3C7DD28B6}"/>
            </c:ext>
          </c:extLst>
        </c:ser>
        <c:ser>
          <c:idx val="3"/>
          <c:order val="3"/>
          <c:tx>
            <c:strRef>
              <c:f>Dashboard!$J$24</c:f>
              <c:strCache>
                <c:ptCount val="1"/>
                <c:pt idx="0">
                  <c:v>Critical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Dashboard!$J$25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76F-4A6B-865A-72C3C7DD28B6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72999432"/>
        <c:axId val="472997080"/>
      </c:barChart>
      <c:catAx>
        <c:axId val="472999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2997080"/>
        <c:crosses val="autoZero"/>
        <c:auto val="1"/>
        <c:lblAlgn val="ctr"/>
        <c:lblOffset val="100"/>
        <c:noMultiLvlLbl val="0"/>
      </c:catAx>
      <c:valAx>
        <c:axId val="472997080"/>
        <c:scaling>
          <c:orientation val="minMax"/>
        </c:scaling>
        <c:delete val="1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4729994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4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15875" cap="flat" cmpd="sng" algn="ctr">
        <a:solidFill>
          <a:schemeClr val="dk1">
            <a:lumMod val="65000"/>
            <a:lumOff val="3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lt1">
            <a:lumMod val="8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6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5.xml"/><Relationship Id="rId5" Type="http://schemas.openxmlformats.org/officeDocument/2006/relationships/chart" Target="../charts/chart4.xml"/><Relationship Id="rId4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195943</xdr:colOff>
      <xdr:row>6</xdr:row>
      <xdr:rowOff>130628</xdr:rowOff>
    </xdr:from>
    <xdr:ext cx="2895600" cy="2743201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5</xdr:col>
      <xdr:colOff>54428</xdr:colOff>
      <xdr:row>8</xdr:row>
      <xdr:rowOff>104501</xdr:rowOff>
    </xdr:from>
    <xdr:ext cx="4397830" cy="2399213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  <xdr:oneCellAnchor>
    <xdr:from>
      <xdr:col>12</xdr:col>
      <xdr:colOff>283029</xdr:colOff>
      <xdr:row>7</xdr:row>
      <xdr:rowOff>152400</xdr:rowOff>
    </xdr:from>
    <xdr:ext cx="3810000" cy="2656114"/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oneCellAnchor>
  <xdr:twoCellAnchor editAs="oneCell">
    <xdr:from>
      <xdr:col>17</xdr:col>
      <xdr:colOff>43549</xdr:colOff>
      <xdr:row>0</xdr:row>
      <xdr:rowOff>130632</xdr:rowOff>
    </xdr:from>
    <xdr:to>
      <xdr:col>18</xdr:col>
      <xdr:colOff>587834</xdr:colOff>
      <xdr:row>4</xdr:row>
      <xdr:rowOff>152402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/>
        <a:srcRect l="-934" t="12037" r="1870" b="-926"/>
        <a:stretch/>
      </xdr:blipFill>
      <xdr:spPr>
        <a:xfrm>
          <a:off x="12083149" y="130632"/>
          <a:ext cx="1153885" cy="1045027"/>
        </a:xfrm>
        <a:prstGeom prst="rect">
          <a:avLst/>
        </a:prstGeom>
      </xdr:spPr>
    </xdr:pic>
    <xdr:clientData/>
  </xdr:twoCellAnchor>
  <xdr:twoCellAnchor>
    <xdr:from>
      <xdr:col>12</xdr:col>
      <xdr:colOff>272144</xdr:colOff>
      <xdr:row>27</xdr:row>
      <xdr:rowOff>146958</xdr:rowOff>
    </xdr:from>
    <xdr:to>
      <xdr:col>18</xdr:col>
      <xdr:colOff>206830</xdr:colOff>
      <xdr:row>42</xdr:row>
      <xdr:rowOff>114301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</xdr:col>
      <xdr:colOff>21771</xdr:colOff>
      <xdr:row>27</xdr:row>
      <xdr:rowOff>92529</xdr:rowOff>
    </xdr:from>
    <xdr:to>
      <xdr:col>4</xdr:col>
      <xdr:colOff>272143</xdr:colOff>
      <xdr:row>42</xdr:row>
      <xdr:rowOff>59871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5</xdr:col>
      <xdr:colOff>76202</xdr:colOff>
      <xdr:row>27</xdr:row>
      <xdr:rowOff>87086</xdr:rowOff>
    </xdr:from>
    <xdr:to>
      <xdr:col>11</xdr:col>
      <xdr:colOff>576943</xdr:colOff>
      <xdr:row>42</xdr:row>
      <xdr:rowOff>97971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17</xdr:col>
      <xdr:colOff>555171</xdr:colOff>
      <xdr:row>3</xdr:row>
      <xdr:rowOff>76200</xdr:rowOff>
    </xdr:from>
    <xdr:to>
      <xdr:col>19</xdr:col>
      <xdr:colOff>21771</xdr:colOff>
      <xdr:row>4</xdr:row>
      <xdr:rowOff>152400</xdr:rowOff>
    </xdr:to>
    <xdr:sp macro="[0]!AdminLogin" textlink="">
      <xdr:nvSpPr>
        <xdr:cNvPr id="7" name="Rectangle: Rounded Corners 6">
          <a:extLst>
            <a:ext uri="{FF2B5EF4-FFF2-40B4-BE49-F238E27FC236}">
              <a16:creationId xmlns:a16="http://schemas.microsoft.com/office/drawing/2014/main" id="{7A52FC7F-CBE9-00D9-2C8A-3347D71E6E5B}"/>
            </a:ext>
          </a:extLst>
        </xdr:cNvPr>
        <xdr:cNvSpPr/>
      </xdr:nvSpPr>
      <xdr:spPr>
        <a:xfrm>
          <a:off x="12649200" y="914400"/>
          <a:ext cx="685800" cy="261257"/>
        </a:xfrm>
        <a:prstGeom prst="roundRect">
          <a:avLst/>
        </a:prstGeom>
        <a:gradFill>
          <a:gsLst>
            <a:gs pos="0">
              <a:schemeClr val="accent1">
                <a:lumMod val="5000"/>
                <a:lumOff val="95000"/>
              </a:schemeClr>
            </a:gs>
            <a:gs pos="74000">
              <a:schemeClr val="accent1">
                <a:lumMod val="45000"/>
                <a:lumOff val="55000"/>
              </a:schemeClr>
            </a:gs>
            <a:gs pos="83000">
              <a:schemeClr val="accent1">
                <a:lumMod val="45000"/>
                <a:lumOff val="55000"/>
              </a:schemeClr>
            </a:gs>
            <a:gs pos="100000">
              <a:schemeClr val="accent1">
                <a:lumMod val="30000"/>
                <a:lumOff val="70000"/>
              </a:schemeClr>
            </a:gs>
          </a:gsLst>
          <a:lin ang="5400000" scaled="1"/>
        </a:gra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 b="1">
              <a:solidFill>
                <a:schemeClr val="tx1"/>
              </a:solidFill>
            </a:rPr>
            <a:t>Admin login</a:t>
          </a:r>
        </a:p>
      </xdr:txBody>
    </xdr:sp>
    <xdr:clientData/>
  </xdr:twoCellAnchor>
  <xdr:twoCellAnchor>
    <xdr:from>
      <xdr:col>17</xdr:col>
      <xdr:colOff>566057</xdr:colOff>
      <xdr:row>5</xdr:row>
      <xdr:rowOff>65315</xdr:rowOff>
    </xdr:from>
    <xdr:to>
      <xdr:col>18</xdr:col>
      <xdr:colOff>587828</xdr:colOff>
      <xdr:row>6</xdr:row>
      <xdr:rowOff>87086</xdr:rowOff>
    </xdr:to>
    <xdr:sp macro="[0]!Logout" textlink="">
      <xdr:nvSpPr>
        <xdr:cNvPr id="8" name="Rectangle: Rounded Corners 7">
          <a:extLst>
            <a:ext uri="{FF2B5EF4-FFF2-40B4-BE49-F238E27FC236}">
              <a16:creationId xmlns:a16="http://schemas.microsoft.com/office/drawing/2014/main" id="{9722F610-C07A-7394-5922-22D2B0D3E694}"/>
            </a:ext>
          </a:extLst>
        </xdr:cNvPr>
        <xdr:cNvSpPr/>
      </xdr:nvSpPr>
      <xdr:spPr>
        <a:xfrm>
          <a:off x="12660086" y="1273629"/>
          <a:ext cx="631371" cy="206828"/>
        </a:xfrm>
        <a:prstGeom prst="round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IN" sz="1100"/>
            <a:t>Logout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O109" totalsRowShown="0" headerRowDxfId="35" dataDxfId="33" headerRowBorderDxfId="34" tableBorderDxfId="32" totalsRowBorderDxfId="31" dataCellStyle="Normal">
  <autoFilter ref="A1:O109" xr:uid="{00000000-0009-0000-0100-000001000000}"/>
  <tableColumns count="15">
    <tableColumn id="1" xr3:uid="{00000000-0010-0000-0000-000001000000}" name="Asset ID" dataDxfId="30" dataCellStyle="Normal"/>
    <tableColumn id="2" xr3:uid="{00000000-0010-0000-0000-000002000000}" name="Asset Type" dataDxfId="29" dataCellStyle="Normal"/>
    <tableColumn id="3" xr3:uid="{00000000-0010-0000-0000-000003000000}" name="Asset Name" dataDxfId="28" dataCellStyle="Normal"/>
    <tableColumn id="4" xr3:uid="{00000000-0010-0000-0000-000004000000}" name="Brand" dataDxfId="27" dataCellStyle="Normal"/>
    <tableColumn id="5" xr3:uid="{00000000-0010-0000-0000-000005000000}" name="Model" dataDxfId="26" dataCellStyle="Normal"/>
    <tableColumn id="6" xr3:uid="{00000000-0010-0000-0000-000006000000}" name="Serial No" dataDxfId="25" dataCellStyle="Normal"/>
    <tableColumn id="16" xr3:uid="{00000000-0010-0000-0000-000010000000}" name="Employee ID" dataDxfId="24" dataCellStyle="Normal"/>
    <tableColumn id="7" xr3:uid="{00000000-0010-0000-0000-000007000000}" name="User Name" dataDxfId="23" dataCellStyle="Normal"/>
    <tableColumn id="8" xr3:uid="{00000000-0010-0000-0000-000008000000}" name="Department" dataDxfId="22" dataCellStyle="Normal"/>
    <tableColumn id="9" xr3:uid="{00000000-0010-0000-0000-000009000000}" name="Location" dataDxfId="21" dataCellStyle="Normal"/>
    <tableColumn id="10" xr3:uid="{00000000-0010-0000-0000-00000A000000}" name="Purchase Date" dataDxfId="20" dataCellStyle="Normal"/>
    <tableColumn id="11" xr3:uid="{00000000-0010-0000-0000-00000B000000}" name="Warranty Expiry" dataDxfId="19" dataCellStyle="Normal"/>
    <tableColumn id="12" xr3:uid="{00000000-0010-0000-0000-00000C000000}" name="Status" dataDxfId="18" dataCellStyle="Normal"/>
    <tableColumn id="13" xr3:uid="{00000000-0010-0000-0000-00000D000000}" name="Priority" dataDxfId="17" dataCellStyle="Normal"/>
    <tableColumn id="14" xr3:uid="{00000000-0010-0000-0000-00000E000000}" name="Remarks" dataDxfId="16" dataCellStyle="Norma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7" row="5">
    <wetp:webextensionref xmlns:r="http://schemas.openxmlformats.org/officeDocument/2006/relationships" r:id="rId1"/>
  </wetp:taskpane>
  <wetp:taskpane dockstate="right" visibility="0" width="437" row="1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BF0A63F1-0D8F-4F3E-9674-C87E1F3EB6A5}">
  <we:reference id="wa200008252" version="1.0.0.0" store="en-US" storeType="OMEX"/>
  <we:alternateReferences>
    <we:reference id="WA200008252" version="1.0.0.0" store="WA200008252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C5938586-6F47-4DC8-B230-E24656FF6784}">
  <we:reference id="wa104051163" version="1.2.0.3" store="en-US" storeType="OMEX"/>
  <we:alternateReferences>
    <we:reference id="WA104051163" version="1.2.0.3" store="WA104051163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theme="8" tint="0.39997558519241921"/>
  </sheetPr>
  <dimension ref="A1:JX45"/>
  <sheetViews>
    <sheetView tabSelected="1" topLeftCell="B1" zoomScale="58" zoomScaleNormal="70" workbookViewId="0">
      <selection activeCell="AB10" sqref="AB10"/>
    </sheetView>
  </sheetViews>
  <sheetFormatPr defaultRowHeight="14.4"/>
  <cols>
    <col min="1" max="1" width="4.88671875" customWidth="1"/>
    <col min="2" max="2" width="14.33203125" bestFit="1" customWidth="1"/>
    <col min="3" max="3" width="15" bestFit="1" customWidth="1"/>
    <col min="4" max="4" width="16" bestFit="1" customWidth="1"/>
    <col min="5" max="5" width="10" bestFit="1" customWidth="1"/>
    <col min="6" max="6" width="14.44140625" bestFit="1" customWidth="1"/>
    <col min="7" max="7" width="10.44140625" bestFit="1" customWidth="1"/>
    <col min="8" max="8" width="10" bestFit="1" customWidth="1"/>
    <col min="9" max="10" width="7.33203125" bestFit="1" customWidth="1"/>
    <col min="16" max="16" width="13.109375" bestFit="1" customWidth="1"/>
    <col min="18" max="18" width="8.88671875" bestFit="1" customWidth="1"/>
  </cols>
  <sheetData>
    <row r="1" spans="1:19" ht="25.95" customHeight="1" thickTop="1">
      <c r="A1" s="59" t="s">
        <v>55</v>
      </c>
      <c r="B1" s="60"/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1"/>
    </row>
    <row r="2" spans="1:19" ht="25.95" customHeight="1">
      <c r="A2" s="62"/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4"/>
    </row>
    <row r="3" spans="1:19" ht="14.4" customHeight="1">
      <c r="A3" s="21"/>
      <c r="B3" s="20"/>
      <c r="C3" s="19" t="s">
        <v>27</v>
      </c>
      <c r="D3" s="19" t="s">
        <v>28</v>
      </c>
      <c r="E3" s="20"/>
      <c r="F3" s="20"/>
      <c r="G3" s="30"/>
      <c r="H3" s="19" t="s">
        <v>11</v>
      </c>
      <c r="I3" s="19" t="s">
        <v>29</v>
      </c>
      <c r="J3" s="31"/>
      <c r="K3" s="31"/>
      <c r="L3" s="31"/>
      <c r="M3" s="31"/>
      <c r="N3" s="31"/>
      <c r="O3" s="31"/>
      <c r="P3" s="19" t="s">
        <v>425</v>
      </c>
      <c r="Q3" s="19" t="s">
        <v>29</v>
      </c>
      <c r="R3" s="31"/>
      <c r="S3" s="32"/>
    </row>
    <row r="4" spans="1:19" ht="14.4" customHeight="1">
      <c r="A4" s="21"/>
      <c r="B4" s="20"/>
      <c r="C4" s="19" t="s">
        <v>30</v>
      </c>
      <c r="D4" s="19">
        <f>COUNTA('Asset Inventory'!A2:A104)/101</f>
        <v>1.0198019801980198</v>
      </c>
      <c r="E4" s="20"/>
      <c r="F4" s="20"/>
      <c r="G4" s="30"/>
      <c r="H4" s="19" t="s">
        <v>17</v>
      </c>
      <c r="I4" s="19">
        <f>COUNTIF('Asset Inventory'!M:M,"Active")</f>
        <v>101</v>
      </c>
      <c r="J4" s="31"/>
      <c r="K4" s="31"/>
      <c r="L4" s="31"/>
      <c r="M4" s="31"/>
      <c r="N4" s="31"/>
      <c r="O4" s="31"/>
      <c r="P4" s="19" t="s">
        <v>14</v>
      </c>
      <c r="Q4" s="19">
        <f>COUNTIFS('Asset Inventory'!B:B,"Laptop",'Asset Inventory'!M:M,"Active")</f>
        <v>36</v>
      </c>
      <c r="R4" s="31"/>
      <c r="S4" s="32"/>
    </row>
    <row r="5" spans="1:19" ht="14.4" customHeight="1">
      <c r="A5" s="21"/>
      <c r="B5" s="20"/>
      <c r="C5" s="19" t="s">
        <v>31</v>
      </c>
      <c r="D5" s="19">
        <f>COUNTIF('Asset Inventory'!M:M,"Active")</f>
        <v>101</v>
      </c>
      <c r="E5" s="20"/>
      <c r="F5" s="20"/>
      <c r="G5" s="30"/>
      <c r="H5" s="19" t="s">
        <v>21</v>
      </c>
      <c r="I5" s="19">
        <f>COUNTIF('Asset Inventory'!M:M,"Repair")</f>
        <v>1</v>
      </c>
      <c r="J5" s="31"/>
      <c r="K5" s="31"/>
      <c r="L5" s="31"/>
      <c r="M5" s="31"/>
      <c r="N5" s="31"/>
      <c r="O5" s="31"/>
      <c r="P5" s="19" t="s">
        <v>19</v>
      </c>
      <c r="Q5" s="19">
        <f>COUNTIFS('Asset Inventory'!B:B,"Desk Top",'Asset Inventory'!M:M,"Active")</f>
        <v>44</v>
      </c>
      <c r="R5" s="31"/>
      <c r="S5" s="32"/>
    </row>
    <row r="6" spans="1:19" ht="14.4" customHeight="1">
      <c r="A6" s="21"/>
      <c r="B6" s="20"/>
      <c r="C6" s="19" t="s">
        <v>32</v>
      </c>
      <c r="D6" s="19">
        <f>COUNTIF('Asset Inventory'!M:M,"Repair")</f>
        <v>1</v>
      </c>
      <c r="E6" s="20"/>
      <c r="F6" s="20"/>
      <c r="G6" s="30"/>
      <c r="H6" s="19" t="s">
        <v>33</v>
      </c>
      <c r="I6" s="19">
        <f>COUNTIF('Asset Inventory'!M:M,"Retired")</f>
        <v>0</v>
      </c>
      <c r="J6" s="31"/>
      <c r="K6" s="31"/>
      <c r="L6" s="31"/>
      <c r="M6" s="31"/>
      <c r="N6" s="31"/>
      <c r="O6" s="31"/>
      <c r="P6" s="19" t="s">
        <v>34</v>
      </c>
      <c r="Q6" s="19">
        <f>COUNTIFS('Asset Inventory'!B:B,"Printer",'Asset Inventory'!M:M,"Active")</f>
        <v>18</v>
      </c>
      <c r="R6" s="31"/>
      <c r="S6" s="32"/>
    </row>
    <row r="7" spans="1:19" ht="14.4" customHeight="1">
      <c r="A7" s="21"/>
      <c r="B7" s="20"/>
      <c r="C7" s="31"/>
      <c r="D7" s="31"/>
      <c r="E7" s="20"/>
      <c r="F7" s="20"/>
      <c r="G7" s="30"/>
      <c r="H7" s="38" t="s">
        <v>121</v>
      </c>
      <c r="I7" s="19">
        <f>COUNTIF('Asset Inventory'!M:M,"No Stock")</f>
        <v>1</v>
      </c>
      <c r="J7" s="30"/>
      <c r="K7" s="31"/>
      <c r="L7" s="31"/>
      <c r="M7" s="31"/>
      <c r="N7" s="31"/>
      <c r="O7" s="31"/>
      <c r="P7" s="19" t="s">
        <v>54</v>
      </c>
      <c r="Q7" s="19">
        <f>COUNTIFS('Asset Inventory'!B:B,"Server",'Asset Inventory'!M:M,"Active")</f>
        <v>3</v>
      </c>
      <c r="R7" s="31"/>
      <c r="S7" s="32"/>
    </row>
    <row r="8" spans="1:19" ht="14.4" customHeight="1">
      <c r="A8" s="21"/>
      <c r="B8" s="31"/>
      <c r="C8" s="31"/>
      <c r="D8" s="31"/>
      <c r="E8" s="20"/>
      <c r="F8" s="20"/>
      <c r="G8" s="30"/>
      <c r="H8" s="19" t="s">
        <v>201</v>
      </c>
      <c r="I8" s="19">
        <f>COUNTIF('Asset Inventory'!M:M,"In Stock")</f>
        <v>0</v>
      </c>
      <c r="J8" s="30"/>
      <c r="K8" s="31"/>
      <c r="L8" s="31"/>
      <c r="M8" s="31"/>
      <c r="N8" s="31"/>
      <c r="O8" s="31"/>
      <c r="P8" s="31"/>
      <c r="Q8" s="31"/>
      <c r="R8" s="31"/>
      <c r="S8" s="32"/>
    </row>
    <row r="9" spans="1:19" ht="14.4" customHeight="1">
      <c r="A9" s="21"/>
      <c r="B9" s="30"/>
      <c r="C9" s="30"/>
      <c r="D9" s="30"/>
      <c r="E9" s="30"/>
      <c r="F9" s="30"/>
      <c r="G9" s="30"/>
      <c r="H9" s="30"/>
      <c r="I9" s="30"/>
      <c r="J9" s="30"/>
      <c r="K9" s="31"/>
      <c r="L9" s="31"/>
      <c r="M9" s="31"/>
      <c r="N9" s="31"/>
      <c r="O9" s="31"/>
      <c r="P9" s="31"/>
      <c r="Q9" s="31"/>
      <c r="R9" s="31"/>
      <c r="S9" s="32"/>
    </row>
    <row r="10" spans="1:19" ht="14.4" customHeight="1">
      <c r="A10" s="21"/>
      <c r="B10" s="30"/>
      <c r="C10" s="30"/>
      <c r="D10" s="30"/>
      <c r="E10" s="30"/>
      <c r="F10" s="30"/>
      <c r="G10" s="30"/>
      <c r="H10" s="30"/>
      <c r="I10" s="30"/>
      <c r="J10" s="30"/>
      <c r="K10" s="31"/>
      <c r="L10" s="31"/>
      <c r="M10" s="31"/>
      <c r="N10" s="31"/>
      <c r="O10" s="31"/>
      <c r="P10" s="31"/>
      <c r="Q10" s="31"/>
      <c r="R10" s="31"/>
      <c r="S10" s="32"/>
    </row>
    <row r="11" spans="1:19" ht="14.4" customHeight="1">
      <c r="A11" s="21"/>
      <c r="B11" s="30"/>
      <c r="C11" s="30"/>
      <c r="D11" s="30"/>
      <c r="E11" s="30"/>
      <c r="F11" s="30"/>
      <c r="G11" s="30"/>
      <c r="H11" s="30"/>
      <c r="I11" s="30"/>
      <c r="J11" s="30"/>
      <c r="K11" s="31"/>
      <c r="L11" s="31"/>
      <c r="M11" s="31"/>
      <c r="N11" s="31"/>
      <c r="O11" s="31"/>
      <c r="P11" s="31"/>
      <c r="Q11" s="31"/>
      <c r="R11" s="31"/>
      <c r="S11" s="32"/>
    </row>
    <row r="12" spans="1:19" ht="14.4" customHeight="1">
      <c r="A12" s="21"/>
      <c r="B12" s="30"/>
      <c r="C12" s="30"/>
      <c r="D12" s="30"/>
      <c r="E12" s="30"/>
      <c r="F12" s="30"/>
      <c r="G12" s="30"/>
      <c r="H12" s="30"/>
      <c r="I12" s="30"/>
      <c r="J12" s="30"/>
      <c r="K12" s="31"/>
      <c r="L12" s="31"/>
      <c r="M12" s="31"/>
      <c r="N12" s="31"/>
      <c r="O12" s="31"/>
      <c r="P12" s="31"/>
      <c r="Q12" s="31"/>
      <c r="R12" s="31"/>
      <c r="S12" s="32"/>
    </row>
    <row r="13" spans="1:19" ht="14.4" customHeight="1">
      <c r="A13" s="21"/>
      <c r="B13" s="30"/>
      <c r="C13" s="30"/>
      <c r="D13" s="30"/>
      <c r="E13" s="30"/>
      <c r="F13" s="30"/>
      <c r="G13" s="30"/>
      <c r="H13" s="30"/>
      <c r="I13" s="30"/>
      <c r="J13" s="30"/>
      <c r="K13" s="31"/>
      <c r="L13" s="31"/>
      <c r="M13" s="31"/>
      <c r="N13" s="31"/>
      <c r="O13" s="31"/>
      <c r="P13" s="31"/>
      <c r="Q13" s="31"/>
      <c r="R13" s="31"/>
      <c r="S13" s="32"/>
    </row>
    <row r="14" spans="1:19" ht="14.4" customHeight="1">
      <c r="A14" s="21"/>
      <c r="B14" s="30"/>
      <c r="C14" s="30"/>
      <c r="D14" s="30"/>
      <c r="E14" s="30"/>
      <c r="F14" s="30"/>
      <c r="G14" s="30"/>
      <c r="H14" s="30"/>
      <c r="I14" s="30"/>
      <c r="J14" s="30"/>
      <c r="K14" s="31"/>
      <c r="L14" s="31"/>
      <c r="M14" s="31"/>
      <c r="N14" s="31"/>
      <c r="O14" s="31"/>
      <c r="P14" s="31"/>
      <c r="Q14" s="31"/>
      <c r="R14" s="31"/>
      <c r="S14" s="32"/>
    </row>
    <row r="15" spans="1:19" ht="14.4" customHeight="1">
      <c r="A15" s="21"/>
      <c r="B15" s="30"/>
      <c r="C15" s="30"/>
      <c r="D15" s="30"/>
      <c r="E15" s="30"/>
      <c r="F15" s="30"/>
      <c r="G15" s="30"/>
      <c r="H15" s="30"/>
      <c r="I15" s="30"/>
      <c r="J15" s="30"/>
      <c r="K15" s="31"/>
      <c r="L15" s="31"/>
      <c r="M15" s="31"/>
      <c r="N15" s="31"/>
      <c r="O15" s="31"/>
      <c r="P15" s="31"/>
      <c r="Q15" s="31"/>
      <c r="R15" s="31"/>
      <c r="S15" s="32"/>
    </row>
    <row r="16" spans="1:19" ht="14.4" customHeight="1">
      <c r="A16" s="21"/>
      <c r="B16" s="30"/>
      <c r="C16" s="30"/>
      <c r="D16" s="30"/>
      <c r="E16" s="30"/>
      <c r="F16" s="30"/>
      <c r="G16" s="30"/>
      <c r="H16" s="30"/>
      <c r="I16" s="30"/>
      <c r="J16" s="30"/>
      <c r="K16" s="31"/>
      <c r="L16" s="31"/>
      <c r="M16" s="31"/>
      <c r="N16" s="31"/>
      <c r="O16" s="31"/>
      <c r="P16" s="31"/>
      <c r="Q16" s="31"/>
      <c r="R16" s="31"/>
      <c r="S16" s="32"/>
    </row>
    <row r="17" spans="1:284" ht="14.4" customHeight="1">
      <c r="A17" s="21"/>
      <c r="B17" s="30"/>
      <c r="C17" s="30"/>
      <c r="D17" s="30"/>
      <c r="E17" s="30"/>
      <c r="F17" s="30"/>
      <c r="G17" s="30"/>
      <c r="H17" s="30"/>
      <c r="I17" s="30"/>
      <c r="J17" s="30"/>
      <c r="K17" s="31"/>
      <c r="L17" s="31"/>
      <c r="M17" s="31"/>
      <c r="N17" s="31"/>
      <c r="O17" s="31"/>
      <c r="P17" s="31"/>
      <c r="Q17" s="31"/>
      <c r="R17" s="31"/>
      <c r="S17" s="32"/>
    </row>
    <row r="18" spans="1:284" ht="14.4" customHeight="1">
      <c r="A18" s="21"/>
      <c r="B18" s="30"/>
      <c r="C18" s="30"/>
      <c r="D18" s="30"/>
      <c r="E18" s="30"/>
      <c r="F18" s="30"/>
      <c r="G18" s="30"/>
      <c r="H18" s="30"/>
      <c r="I18" s="30"/>
      <c r="J18" s="30"/>
      <c r="K18" s="31"/>
      <c r="L18" s="31"/>
      <c r="M18" s="31"/>
      <c r="N18" s="31"/>
      <c r="O18" s="31"/>
      <c r="P18" s="31"/>
      <c r="Q18" s="31"/>
      <c r="R18" s="31"/>
      <c r="S18" s="32"/>
    </row>
    <row r="19" spans="1:284" ht="14.4" customHeight="1">
      <c r="A19" s="21"/>
      <c r="B19" s="30"/>
      <c r="C19" s="30"/>
      <c r="D19" s="30"/>
      <c r="E19" s="30"/>
      <c r="F19" s="30"/>
      <c r="G19" s="30"/>
      <c r="H19" s="30"/>
      <c r="I19" s="30"/>
      <c r="J19" s="30"/>
      <c r="K19" s="31"/>
      <c r="L19" s="31"/>
      <c r="M19" s="31"/>
      <c r="N19" s="31"/>
      <c r="O19" s="31"/>
      <c r="P19" s="31"/>
      <c r="Q19" s="31"/>
      <c r="R19" s="31"/>
      <c r="S19" s="32"/>
    </row>
    <row r="20" spans="1:284" ht="14.4" customHeight="1">
      <c r="A20" s="21"/>
      <c r="B20" s="30"/>
      <c r="C20" s="30"/>
      <c r="D20" s="30"/>
      <c r="E20" s="30"/>
      <c r="F20" s="30"/>
      <c r="G20" s="30"/>
      <c r="H20" s="30"/>
      <c r="I20" s="30"/>
      <c r="J20" s="30"/>
      <c r="K20" s="31"/>
      <c r="L20" s="31"/>
      <c r="M20" s="31"/>
      <c r="N20" s="31"/>
      <c r="O20" s="31"/>
      <c r="P20" s="31"/>
      <c r="Q20" s="31"/>
      <c r="R20" s="31"/>
      <c r="S20" s="32"/>
    </row>
    <row r="21" spans="1:284" ht="14.4" customHeight="1">
      <c r="A21" s="21"/>
      <c r="B21" s="30"/>
      <c r="C21" s="30"/>
      <c r="D21" s="30"/>
      <c r="E21" s="30"/>
      <c r="F21" s="30"/>
      <c r="G21" s="30"/>
      <c r="H21" s="30"/>
      <c r="I21" s="30"/>
      <c r="J21" s="30"/>
      <c r="K21" s="31"/>
      <c r="L21" s="31"/>
      <c r="M21" s="31"/>
      <c r="N21" s="31"/>
      <c r="O21" s="31"/>
      <c r="P21" s="31"/>
      <c r="Q21" s="31"/>
      <c r="R21" s="31"/>
      <c r="S21" s="32"/>
    </row>
    <row r="22" spans="1:284" ht="14.4" customHeight="1">
      <c r="A22" s="21"/>
      <c r="B22" s="30"/>
      <c r="C22" s="30"/>
      <c r="D22" s="30"/>
      <c r="E22" s="30"/>
      <c r="F22" s="30"/>
      <c r="G22" s="30"/>
      <c r="H22" s="30"/>
      <c r="I22" s="30"/>
      <c r="J22" s="30"/>
      <c r="K22" s="31"/>
      <c r="L22" s="31"/>
      <c r="M22" s="31"/>
      <c r="N22" s="31"/>
      <c r="O22" s="31"/>
      <c r="P22" s="31"/>
      <c r="Q22" s="31"/>
      <c r="R22" s="31"/>
      <c r="S22" s="32"/>
    </row>
    <row r="23" spans="1:284" s="1" customFormat="1" ht="14.4" customHeight="1">
      <c r="A23" s="21"/>
      <c r="B23" s="31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2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</row>
    <row r="24" spans="1:284" s="1" customFormat="1" ht="14.4" customHeight="1">
      <c r="A24" s="21"/>
      <c r="B24" s="19" t="s">
        <v>387</v>
      </c>
      <c r="C24" s="19" t="s">
        <v>388</v>
      </c>
      <c r="D24" s="19" t="s">
        <v>389</v>
      </c>
      <c r="E24" s="19" t="s">
        <v>354</v>
      </c>
      <c r="F24" s="31"/>
      <c r="G24" s="39" t="s">
        <v>494</v>
      </c>
      <c r="H24" s="40" t="s">
        <v>497</v>
      </c>
      <c r="I24" s="39" t="s">
        <v>496</v>
      </c>
      <c r="J24" s="19" t="s">
        <v>707</v>
      </c>
      <c r="K24" s="33"/>
      <c r="L24" s="31"/>
      <c r="M24" s="31"/>
      <c r="N24" s="31"/>
      <c r="O24" s="31"/>
      <c r="P24" s="31"/>
      <c r="Q24" s="19" t="s">
        <v>11</v>
      </c>
      <c r="R24" s="19" t="s">
        <v>29</v>
      </c>
      <c r="S24" s="32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/>
      <c r="BE24"/>
      <c r="BF24"/>
      <c r="BG24"/>
      <c r="BH24"/>
      <c r="BI24"/>
      <c r="BJ24"/>
      <c r="BK24"/>
      <c r="BL24"/>
      <c r="BM24"/>
      <c r="BN24"/>
      <c r="BO24"/>
      <c r="BP24"/>
      <c r="BQ24"/>
      <c r="BR24"/>
      <c r="BS24"/>
      <c r="BT24"/>
      <c r="BU24"/>
      <c r="BV24"/>
      <c r="BW24"/>
      <c r="BX24"/>
      <c r="BY24"/>
      <c r="BZ24"/>
      <c r="CA24"/>
      <c r="CB24"/>
      <c r="CC24"/>
      <c r="CD24"/>
      <c r="CE24"/>
      <c r="CF24"/>
      <c r="CG24"/>
      <c r="CH24"/>
      <c r="CI24"/>
      <c r="CJ24"/>
      <c r="CK24"/>
      <c r="CL24"/>
      <c r="CM24"/>
      <c r="CN24"/>
      <c r="CO24"/>
      <c r="CP24"/>
      <c r="CQ24"/>
      <c r="CR24"/>
      <c r="CS24"/>
      <c r="CT24"/>
      <c r="CU24"/>
      <c r="CV24"/>
      <c r="CW24"/>
      <c r="CX24"/>
      <c r="CY24"/>
      <c r="CZ24"/>
      <c r="DA24"/>
      <c r="DB24"/>
      <c r="DC24"/>
      <c r="DD24"/>
      <c r="DE24"/>
      <c r="DF24"/>
      <c r="DG24"/>
      <c r="DH24"/>
      <c r="DI24"/>
      <c r="DJ24"/>
      <c r="DK24"/>
      <c r="DL24"/>
      <c r="DM24"/>
      <c r="DN24"/>
      <c r="DO24"/>
      <c r="DP24"/>
      <c r="DQ24"/>
      <c r="DR24"/>
      <c r="DS24"/>
      <c r="DT24"/>
      <c r="DU24"/>
      <c r="DV24"/>
      <c r="DW24"/>
      <c r="DX24"/>
      <c r="DY24"/>
      <c r="DZ24"/>
      <c r="EA24"/>
      <c r="EB24"/>
      <c r="EC24"/>
      <c r="ED24"/>
      <c r="EE24"/>
      <c r="EF24"/>
      <c r="EG24"/>
      <c r="EH24"/>
      <c r="EI24"/>
      <c r="EJ24"/>
      <c r="EK24"/>
      <c r="EL24"/>
      <c r="EM24"/>
      <c r="EN24"/>
      <c r="EO24"/>
      <c r="EP24"/>
      <c r="EQ24"/>
      <c r="ER24"/>
      <c r="ES24"/>
      <c r="ET24"/>
      <c r="EU24"/>
      <c r="EV24"/>
      <c r="EW24"/>
      <c r="EX24"/>
      <c r="EY24"/>
      <c r="EZ24"/>
      <c r="FA24"/>
      <c r="FB24"/>
      <c r="FC24"/>
      <c r="FD24"/>
      <c r="FE24"/>
      <c r="FF24"/>
      <c r="FG24"/>
      <c r="FH24"/>
      <c r="FI24"/>
      <c r="FJ24"/>
      <c r="FK24"/>
      <c r="FL24"/>
      <c r="FM24"/>
      <c r="FN24"/>
      <c r="FO24"/>
      <c r="FP24"/>
      <c r="FQ24"/>
      <c r="FR24"/>
      <c r="FS24"/>
      <c r="FT24"/>
      <c r="FU24"/>
      <c r="FV24"/>
      <c r="FW24"/>
      <c r="FX24"/>
      <c r="FY24"/>
      <c r="FZ24"/>
      <c r="GA24"/>
      <c r="GB24"/>
      <c r="GC24"/>
      <c r="GD24"/>
      <c r="GE24"/>
      <c r="GF24"/>
      <c r="GG24"/>
      <c r="GH24"/>
      <c r="GI24"/>
      <c r="GJ24"/>
      <c r="GK24"/>
      <c r="GL24"/>
      <c r="GM24"/>
      <c r="GN24"/>
      <c r="GO24"/>
      <c r="GP24"/>
      <c r="GQ24"/>
      <c r="GR24"/>
      <c r="GS24"/>
      <c r="GT24"/>
      <c r="GU24"/>
      <c r="GV24"/>
      <c r="GW24"/>
      <c r="GX24"/>
      <c r="GY24"/>
      <c r="GZ24"/>
      <c r="HA24"/>
      <c r="HB24"/>
      <c r="HC24"/>
      <c r="HD24"/>
      <c r="HE24"/>
      <c r="HF24"/>
      <c r="HG24"/>
      <c r="HH24"/>
      <c r="HI24"/>
      <c r="HJ24"/>
      <c r="HK24"/>
      <c r="HL24"/>
      <c r="HM24"/>
      <c r="HN24"/>
      <c r="HO24"/>
      <c r="HP24"/>
      <c r="HQ24"/>
      <c r="HR24"/>
      <c r="HS24"/>
      <c r="HT24"/>
      <c r="HU24"/>
      <c r="HV24"/>
      <c r="HW24"/>
      <c r="HX24"/>
      <c r="HY24"/>
      <c r="HZ24"/>
      <c r="IA24"/>
      <c r="IB24"/>
      <c r="IC24"/>
      <c r="ID24"/>
      <c r="IE24"/>
      <c r="IF24"/>
      <c r="IG24"/>
      <c r="IH24"/>
      <c r="II24"/>
      <c r="IJ24"/>
      <c r="IK24"/>
      <c r="IL24"/>
      <c r="IM24"/>
      <c r="IN24"/>
      <c r="IO24"/>
      <c r="IP24"/>
      <c r="IQ24"/>
      <c r="IR24"/>
      <c r="IS24"/>
      <c r="IT24"/>
      <c r="IU24"/>
      <c r="IV24"/>
      <c r="IW24"/>
      <c r="IX24"/>
      <c r="IY24"/>
      <c r="IZ24"/>
      <c r="JA24"/>
      <c r="JB24"/>
      <c r="JC24"/>
      <c r="JD24"/>
      <c r="JE24"/>
      <c r="JF24"/>
      <c r="JG24"/>
      <c r="JH24"/>
      <c r="JI24"/>
      <c r="JJ24"/>
      <c r="JK24"/>
      <c r="JL24"/>
      <c r="JM24"/>
      <c r="JN24"/>
      <c r="JO24"/>
      <c r="JP24"/>
      <c r="JQ24"/>
      <c r="JR24"/>
      <c r="JS24"/>
      <c r="JT24"/>
      <c r="JU24"/>
      <c r="JV24"/>
      <c r="JW24"/>
      <c r="JX24"/>
    </row>
    <row r="25" spans="1:284" s="1" customFormat="1" ht="14.4" customHeight="1">
      <c r="A25" s="21"/>
      <c r="B25" s="19">
        <f>COUNTA(Tickets!A:A)-1</f>
        <v>78</v>
      </c>
      <c r="C25" s="19">
        <f>COUNTIF( Tickets!E:E,"Open")</f>
        <v>10</v>
      </c>
      <c r="D25" s="19">
        <f>COUNTIF(Tickets!E:E,"Closed")</f>
        <v>39</v>
      </c>
      <c r="E25" s="19">
        <f>COUNTIF(Tickets!E:E,"Hold")</f>
        <v>5</v>
      </c>
      <c r="F25" s="31"/>
      <c r="G25" s="19">
        <f>COUNTA(Incidents!A2:A988)</f>
        <v>3</v>
      </c>
      <c r="H25" s="19">
        <f>COUNTIF(Incidents!D2:D1000,"Down")</f>
        <v>1</v>
      </c>
      <c r="I25" s="19">
        <f>COUNTIF(Incidents!D2:D1000,"Up")</f>
        <v>2</v>
      </c>
      <c r="J25" s="19">
        <f>COUNTIF(Incidents!C2:D1000,"Critical")</f>
        <v>1</v>
      </c>
      <c r="K25" s="33"/>
      <c r="L25" s="31"/>
      <c r="M25" s="31"/>
      <c r="N25" s="31"/>
      <c r="O25" s="31"/>
      <c r="P25" s="31"/>
      <c r="Q25" s="19" t="s">
        <v>356</v>
      </c>
      <c r="R25" s="19">
        <f>COUNTIF(Tickets!E:E,"Open")</f>
        <v>10</v>
      </c>
      <c r="S25" s="32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</row>
    <row r="26" spans="1:284" s="1" customFormat="1" ht="14.4" customHeight="1">
      <c r="A26" s="21"/>
      <c r="B26" s="31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19" t="s">
        <v>355</v>
      </c>
      <c r="R26" s="19">
        <f>COUNTIF(Tickets!E:E,"Closed")</f>
        <v>39</v>
      </c>
      <c r="S26" s="32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/>
      <c r="BE26"/>
      <c r="BF26"/>
      <c r="BG26"/>
      <c r="BH26"/>
      <c r="BI26"/>
      <c r="BJ26"/>
      <c r="BK26"/>
      <c r="BL26"/>
      <c r="BM26"/>
      <c r="BN26"/>
      <c r="BO26"/>
      <c r="BP26"/>
      <c r="BQ26"/>
      <c r="BR26"/>
      <c r="BS26"/>
      <c r="BT26"/>
      <c r="BU26"/>
      <c r="BV26"/>
      <c r="BW26"/>
      <c r="BX26"/>
      <c r="BY26"/>
      <c r="BZ26"/>
      <c r="CA26"/>
      <c r="CB26"/>
      <c r="CC26"/>
      <c r="CD26"/>
      <c r="CE26"/>
      <c r="CF26"/>
      <c r="CG26"/>
      <c r="CH26"/>
      <c r="CI26"/>
      <c r="CJ26"/>
      <c r="CK26"/>
      <c r="CL26"/>
      <c r="CM26"/>
      <c r="CN26"/>
      <c r="CO26"/>
      <c r="CP26"/>
      <c r="CQ26"/>
      <c r="CR26"/>
      <c r="CS26"/>
      <c r="CT26"/>
      <c r="CU26"/>
      <c r="CV26"/>
      <c r="CW26"/>
      <c r="CX26"/>
      <c r="CY26"/>
      <c r="CZ26"/>
      <c r="DA26"/>
      <c r="DB26"/>
      <c r="DC26"/>
      <c r="DD26"/>
      <c r="DE26"/>
      <c r="DF26"/>
      <c r="DG26"/>
      <c r="DH26"/>
      <c r="DI26"/>
      <c r="DJ26"/>
      <c r="DK26"/>
      <c r="DL26"/>
      <c r="DM26"/>
      <c r="DN26"/>
      <c r="DO26"/>
      <c r="DP26"/>
      <c r="DQ26"/>
      <c r="DR26"/>
      <c r="DS26"/>
      <c r="DT26"/>
      <c r="DU26"/>
      <c r="DV26"/>
      <c r="DW26"/>
      <c r="DX26"/>
      <c r="DY26"/>
      <c r="DZ26"/>
      <c r="EA26"/>
      <c r="EB26"/>
      <c r="EC26"/>
      <c r="ED26"/>
      <c r="EE26"/>
      <c r="EF26"/>
      <c r="EG26"/>
      <c r="EH26"/>
      <c r="EI26"/>
      <c r="EJ26"/>
      <c r="EK26"/>
      <c r="EL26"/>
      <c r="EM26"/>
      <c r="EN26"/>
      <c r="EO26"/>
      <c r="EP26"/>
      <c r="EQ26"/>
      <c r="ER26"/>
      <c r="ES26"/>
      <c r="ET26"/>
      <c r="EU26"/>
      <c r="EV26"/>
      <c r="EW26"/>
      <c r="EX26"/>
      <c r="EY26"/>
      <c r="EZ26"/>
      <c r="FA26"/>
      <c r="FB26"/>
      <c r="FC26"/>
      <c r="FD26"/>
      <c r="FE26"/>
      <c r="FF26"/>
      <c r="FG26"/>
      <c r="FH26"/>
      <c r="FI26"/>
      <c r="FJ26"/>
      <c r="FK26"/>
      <c r="FL26"/>
      <c r="FM26"/>
      <c r="FN26"/>
      <c r="FO26"/>
      <c r="FP26"/>
      <c r="FQ26"/>
      <c r="FR26"/>
      <c r="FS26"/>
      <c r="FT26"/>
      <c r="FU26"/>
      <c r="FV26"/>
      <c r="FW26"/>
      <c r="FX26"/>
      <c r="FY26"/>
      <c r="FZ26"/>
      <c r="GA26"/>
      <c r="GB26"/>
      <c r="GC26"/>
      <c r="GD26"/>
      <c r="GE26"/>
      <c r="GF26"/>
      <c r="GG26"/>
      <c r="GH26"/>
      <c r="GI26"/>
      <c r="GJ26"/>
      <c r="GK26"/>
      <c r="GL26"/>
      <c r="GM26"/>
      <c r="GN26"/>
      <c r="GO26"/>
      <c r="GP26"/>
      <c r="GQ26"/>
      <c r="GR26"/>
      <c r="GS26"/>
      <c r="GT26"/>
      <c r="GU26"/>
      <c r="GV26"/>
      <c r="GW26"/>
      <c r="GX26"/>
      <c r="GY26"/>
      <c r="GZ26"/>
      <c r="HA26"/>
      <c r="HB26"/>
      <c r="HC26"/>
      <c r="HD26"/>
      <c r="HE26"/>
      <c r="HF26"/>
      <c r="HG26"/>
      <c r="HH26"/>
      <c r="HI26"/>
      <c r="HJ26"/>
      <c r="HK26"/>
      <c r="HL26"/>
      <c r="HM26"/>
      <c r="HN26"/>
      <c r="HO26"/>
      <c r="HP26"/>
      <c r="HQ26"/>
      <c r="HR26"/>
      <c r="HS26"/>
      <c r="HT26"/>
      <c r="HU26"/>
      <c r="HV26"/>
      <c r="HW26"/>
      <c r="HX26"/>
      <c r="HY26"/>
      <c r="HZ26"/>
      <c r="IA26"/>
      <c r="IB26"/>
      <c r="IC26"/>
      <c r="ID26"/>
      <c r="IE26"/>
      <c r="IF26"/>
      <c r="IG26"/>
      <c r="IH26"/>
      <c r="II26"/>
      <c r="IJ26"/>
      <c r="IK26"/>
      <c r="IL26"/>
      <c r="IM26"/>
      <c r="IN26"/>
      <c r="IO26"/>
      <c r="IP26"/>
      <c r="IQ26"/>
      <c r="IR26"/>
      <c r="IS26"/>
      <c r="IT26"/>
      <c r="IU26"/>
      <c r="IV26"/>
      <c r="IW26"/>
      <c r="IX26"/>
      <c r="IY26"/>
      <c r="IZ26"/>
      <c r="JA26"/>
      <c r="JB26"/>
      <c r="JC26"/>
      <c r="JD26"/>
      <c r="JE26"/>
      <c r="JF26"/>
      <c r="JG26"/>
      <c r="JH26"/>
      <c r="JI26"/>
      <c r="JJ26"/>
      <c r="JK26"/>
      <c r="JL26"/>
      <c r="JM26"/>
      <c r="JN26"/>
      <c r="JO26"/>
      <c r="JP26"/>
      <c r="JQ26"/>
      <c r="JR26"/>
      <c r="JS26"/>
      <c r="JT26"/>
      <c r="JU26"/>
      <c r="JV26"/>
      <c r="JW26"/>
      <c r="JX26"/>
    </row>
    <row r="27" spans="1:284" s="1" customFormat="1" ht="14.4" customHeight="1">
      <c r="A27" s="21"/>
      <c r="B27" s="31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19" t="s">
        <v>354</v>
      </c>
      <c r="R27" s="19">
        <f>COUNTIF(Tickets!E:E,"Hold")</f>
        <v>5</v>
      </c>
      <c r="S27" s="32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  <c r="AR27"/>
      <c r="AS27"/>
      <c r="AT27"/>
      <c r="AU27"/>
      <c r="AV27"/>
      <c r="AW27"/>
      <c r="AX27"/>
      <c r="AY27"/>
      <c r="AZ27"/>
      <c r="BA27"/>
      <c r="BB27"/>
      <c r="BC27"/>
      <c r="BD27"/>
      <c r="BE27"/>
      <c r="BF27"/>
      <c r="BG27"/>
      <c r="BH27"/>
      <c r="BI27"/>
      <c r="BJ27"/>
      <c r="BK27"/>
      <c r="BL27"/>
      <c r="BM27"/>
      <c r="BN27"/>
      <c r="BO27"/>
      <c r="BP27"/>
      <c r="BQ27"/>
      <c r="BR27"/>
      <c r="BS27"/>
      <c r="BT27"/>
      <c r="BU27"/>
      <c r="BV27"/>
      <c r="BW27"/>
      <c r="BX27"/>
      <c r="BY27"/>
      <c r="BZ27"/>
      <c r="CA27"/>
      <c r="CB27"/>
      <c r="CC27"/>
      <c r="CD27"/>
      <c r="CE27"/>
      <c r="CF27"/>
      <c r="CG27"/>
      <c r="CH27"/>
      <c r="CI27"/>
      <c r="CJ27"/>
      <c r="CK27"/>
      <c r="CL27"/>
      <c r="CM27"/>
      <c r="CN27"/>
      <c r="CO27"/>
      <c r="CP27"/>
      <c r="CQ27"/>
      <c r="CR27"/>
      <c r="CS27"/>
      <c r="CT27"/>
      <c r="CU27"/>
      <c r="CV27"/>
      <c r="CW27"/>
      <c r="CX27"/>
      <c r="CY27"/>
      <c r="CZ27"/>
      <c r="DA27"/>
      <c r="DB27"/>
      <c r="DC27"/>
      <c r="DD27"/>
      <c r="DE27"/>
      <c r="DF27"/>
      <c r="DG27"/>
      <c r="DH27"/>
      <c r="DI27"/>
      <c r="DJ27"/>
      <c r="DK27"/>
      <c r="DL27"/>
      <c r="DM27"/>
      <c r="DN27"/>
      <c r="DO27"/>
      <c r="DP27"/>
      <c r="DQ27"/>
      <c r="DR27"/>
      <c r="DS27"/>
      <c r="DT27"/>
      <c r="DU27"/>
      <c r="DV27"/>
      <c r="DW27"/>
      <c r="DX27"/>
      <c r="DY27"/>
      <c r="DZ27"/>
      <c r="EA27"/>
      <c r="EB27"/>
      <c r="EC27"/>
      <c r="ED27"/>
      <c r="EE27"/>
      <c r="EF27"/>
      <c r="EG27"/>
      <c r="EH27"/>
      <c r="EI27"/>
      <c r="EJ27"/>
      <c r="EK27"/>
      <c r="EL27"/>
      <c r="EM27"/>
      <c r="EN27"/>
      <c r="EO27"/>
      <c r="EP27"/>
      <c r="EQ27"/>
      <c r="ER27"/>
      <c r="ES27"/>
      <c r="ET27"/>
      <c r="EU27"/>
      <c r="EV27"/>
      <c r="EW27"/>
      <c r="EX27"/>
      <c r="EY27"/>
      <c r="EZ27"/>
      <c r="FA27"/>
      <c r="FB27"/>
      <c r="FC27"/>
      <c r="FD27"/>
      <c r="FE27"/>
      <c r="FF27"/>
      <c r="FG27"/>
      <c r="FH27"/>
      <c r="FI27"/>
      <c r="FJ27"/>
      <c r="FK27"/>
      <c r="FL27"/>
      <c r="FM27"/>
      <c r="FN27"/>
      <c r="FO27"/>
      <c r="FP27"/>
      <c r="FQ27"/>
      <c r="FR27"/>
      <c r="FS27"/>
      <c r="FT27"/>
      <c r="FU27"/>
      <c r="FV27"/>
      <c r="FW27"/>
      <c r="FX27"/>
      <c r="FY27"/>
      <c r="FZ27"/>
      <c r="GA27"/>
      <c r="GB27"/>
      <c r="GC27"/>
      <c r="GD27"/>
      <c r="GE27"/>
      <c r="GF27"/>
      <c r="GG27"/>
      <c r="GH27"/>
      <c r="GI27"/>
      <c r="GJ27"/>
      <c r="GK27"/>
      <c r="GL27"/>
      <c r="GM27"/>
      <c r="GN27"/>
      <c r="GO27"/>
      <c r="GP27"/>
      <c r="GQ27"/>
      <c r="GR27"/>
      <c r="GS27"/>
      <c r="GT27"/>
      <c r="GU27"/>
      <c r="GV27"/>
      <c r="GW27"/>
      <c r="GX27"/>
      <c r="GY27"/>
      <c r="GZ27"/>
      <c r="HA27"/>
      <c r="HB27"/>
      <c r="HC27"/>
      <c r="HD27"/>
      <c r="HE27"/>
      <c r="HF27"/>
      <c r="HG27"/>
      <c r="HH27"/>
      <c r="HI27"/>
      <c r="HJ27"/>
      <c r="HK27"/>
      <c r="HL27"/>
      <c r="HM27"/>
      <c r="HN27"/>
      <c r="HO27"/>
      <c r="HP27"/>
      <c r="HQ27"/>
      <c r="HR27"/>
      <c r="HS27"/>
      <c r="HT27"/>
      <c r="HU27"/>
      <c r="HV27"/>
      <c r="HW27"/>
      <c r="HX27"/>
      <c r="HY27"/>
      <c r="HZ27"/>
      <c r="IA27"/>
      <c r="IB27"/>
      <c r="IC27"/>
      <c r="ID27"/>
      <c r="IE27"/>
      <c r="IF27"/>
      <c r="IG27"/>
      <c r="IH27"/>
      <c r="II27"/>
      <c r="IJ27"/>
      <c r="IK27"/>
      <c r="IL27"/>
      <c r="IM27"/>
      <c r="IN27"/>
      <c r="IO27"/>
      <c r="IP27"/>
      <c r="IQ27"/>
      <c r="IR27"/>
      <c r="IS27"/>
      <c r="IT27"/>
      <c r="IU27"/>
      <c r="IV27"/>
      <c r="IW27"/>
      <c r="IX27"/>
      <c r="IY27"/>
      <c r="IZ27"/>
      <c r="JA27"/>
      <c r="JB27"/>
      <c r="JC27"/>
      <c r="JD27"/>
      <c r="JE27"/>
      <c r="JF27"/>
      <c r="JG27"/>
      <c r="JH27"/>
      <c r="JI27"/>
      <c r="JJ27"/>
      <c r="JK27"/>
      <c r="JL27"/>
      <c r="JM27"/>
      <c r="JN27"/>
      <c r="JO27"/>
      <c r="JP27"/>
      <c r="JQ27"/>
      <c r="JR27"/>
      <c r="JS27"/>
      <c r="JT27"/>
      <c r="JU27"/>
      <c r="JV27"/>
      <c r="JW27"/>
      <c r="JX27"/>
    </row>
    <row r="28" spans="1:284" s="1" customFormat="1" ht="14.4" customHeight="1">
      <c r="A28" s="21"/>
      <c r="B28" s="31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2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  <c r="CI28"/>
      <c r="CJ28"/>
      <c r="CK28"/>
      <c r="CL28"/>
      <c r="CM28"/>
      <c r="CN28"/>
      <c r="CO28"/>
      <c r="CP28"/>
      <c r="CQ28"/>
      <c r="CR28"/>
      <c r="CS28"/>
      <c r="CT28"/>
      <c r="CU28"/>
      <c r="CV28"/>
      <c r="CW28"/>
      <c r="CX28"/>
      <c r="CY28"/>
      <c r="CZ28"/>
      <c r="DA28"/>
      <c r="DB28"/>
      <c r="DC28"/>
      <c r="DD28"/>
      <c r="DE28"/>
      <c r="DF28"/>
      <c r="DG28"/>
      <c r="DH28"/>
      <c r="DI28"/>
      <c r="DJ28"/>
      <c r="DK28"/>
      <c r="DL28"/>
      <c r="DM28"/>
      <c r="DN28"/>
      <c r="DO28"/>
      <c r="DP28"/>
      <c r="DQ28"/>
      <c r="DR28"/>
      <c r="DS28"/>
      <c r="DT28"/>
      <c r="DU28"/>
      <c r="DV28"/>
      <c r="DW28"/>
      <c r="DX28"/>
      <c r="DY28"/>
      <c r="DZ28"/>
      <c r="EA28"/>
      <c r="EB28"/>
      <c r="EC28"/>
      <c r="ED28"/>
      <c r="EE28"/>
      <c r="EF28"/>
      <c r="EG28"/>
      <c r="EH28"/>
      <c r="EI28"/>
      <c r="EJ28"/>
      <c r="EK28"/>
      <c r="EL28"/>
      <c r="EM28"/>
      <c r="EN28"/>
      <c r="EO28"/>
      <c r="EP28"/>
      <c r="EQ28"/>
      <c r="ER28"/>
      <c r="ES28"/>
      <c r="ET28"/>
      <c r="EU28"/>
      <c r="EV28"/>
      <c r="EW28"/>
      <c r="EX28"/>
      <c r="EY28"/>
      <c r="EZ28"/>
      <c r="FA28"/>
      <c r="FB28"/>
      <c r="FC28"/>
      <c r="FD28"/>
      <c r="FE28"/>
      <c r="FF28"/>
      <c r="FG28"/>
      <c r="FH28"/>
      <c r="FI28"/>
      <c r="FJ28"/>
      <c r="FK28"/>
      <c r="FL28"/>
      <c r="FM28"/>
      <c r="FN28"/>
      <c r="FO28"/>
      <c r="FP28"/>
      <c r="FQ28"/>
      <c r="FR28"/>
      <c r="FS28"/>
      <c r="FT28"/>
      <c r="FU28"/>
      <c r="FV28"/>
      <c r="FW28"/>
      <c r="FX28"/>
      <c r="FY28"/>
      <c r="FZ28"/>
      <c r="GA28"/>
      <c r="GB28"/>
      <c r="GC28"/>
      <c r="GD28"/>
      <c r="GE28"/>
      <c r="GF28"/>
      <c r="GG28"/>
      <c r="GH28"/>
      <c r="GI28"/>
      <c r="GJ28"/>
      <c r="GK28"/>
      <c r="GL28"/>
      <c r="GM28"/>
      <c r="GN28"/>
      <c r="GO28"/>
      <c r="GP28"/>
      <c r="GQ28"/>
      <c r="GR28"/>
      <c r="GS28"/>
      <c r="GT28"/>
      <c r="GU28"/>
      <c r="GV28"/>
      <c r="GW28"/>
      <c r="GX28"/>
      <c r="GY28"/>
      <c r="GZ28"/>
      <c r="HA28"/>
      <c r="HB28"/>
      <c r="HC28"/>
      <c r="HD28"/>
      <c r="HE28"/>
      <c r="HF28"/>
      <c r="HG28"/>
      <c r="HH28"/>
      <c r="HI28"/>
      <c r="HJ28"/>
      <c r="HK28"/>
      <c r="HL28"/>
      <c r="HM28"/>
      <c r="HN28"/>
      <c r="HO28"/>
      <c r="HP28"/>
      <c r="HQ28"/>
      <c r="HR28"/>
      <c r="HS28"/>
      <c r="HT28"/>
      <c r="HU28"/>
      <c r="HV28"/>
      <c r="HW28"/>
      <c r="HX28"/>
      <c r="HY28"/>
      <c r="HZ28"/>
      <c r="IA28"/>
      <c r="IB28"/>
      <c r="IC28"/>
      <c r="ID28"/>
      <c r="IE28"/>
      <c r="IF28"/>
      <c r="IG28"/>
      <c r="IH28"/>
      <c r="II28"/>
      <c r="IJ28"/>
      <c r="IK28"/>
      <c r="IL28"/>
      <c r="IM28"/>
      <c r="IN28"/>
      <c r="IO28"/>
      <c r="IP28"/>
      <c r="IQ28"/>
      <c r="IR28"/>
      <c r="IS28"/>
      <c r="IT28"/>
      <c r="IU28"/>
      <c r="IV28"/>
      <c r="IW28"/>
      <c r="IX28"/>
      <c r="IY28"/>
      <c r="IZ28"/>
      <c r="JA28"/>
      <c r="JB28"/>
      <c r="JC28"/>
      <c r="JD28"/>
      <c r="JE28"/>
      <c r="JF28"/>
      <c r="JG28"/>
      <c r="JH28"/>
      <c r="JI28"/>
      <c r="JJ28"/>
      <c r="JK28"/>
      <c r="JL28"/>
      <c r="JM28"/>
      <c r="JN28"/>
      <c r="JO28"/>
      <c r="JP28"/>
      <c r="JQ28"/>
      <c r="JR28"/>
      <c r="JS28"/>
      <c r="JT28"/>
      <c r="JU28"/>
      <c r="JV28"/>
      <c r="JW28"/>
      <c r="JX28"/>
    </row>
    <row r="29" spans="1:284" s="1" customFormat="1" ht="14.4" customHeight="1">
      <c r="A29" s="21"/>
      <c r="B29" s="31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2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/>
      <c r="BE29"/>
      <c r="BF29"/>
      <c r="BG29"/>
      <c r="BH29"/>
      <c r="BI29"/>
      <c r="BJ29"/>
      <c r="BK29"/>
      <c r="BL29"/>
      <c r="BM29"/>
      <c r="BN29"/>
      <c r="BO29"/>
      <c r="BP29"/>
      <c r="BQ29"/>
      <c r="BR29"/>
      <c r="BS29"/>
      <c r="BT29"/>
      <c r="BU29"/>
      <c r="BV29"/>
      <c r="BW29"/>
      <c r="BX29"/>
      <c r="BY29"/>
      <c r="BZ29"/>
      <c r="CA29"/>
      <c r="CB29"/>
      <c r="CC29"/>
      <c r="CD29"/>
      <c r="CE29"/>
      <c r="CF29"/>
      <c r="CG29"/>
      <c r="CH29"/>
      <c r="CI29"/>
      <c r="CJ29"/>
      <c r="CK29"/>
      <c r="CL29"/>
      <c r="CM29"/>
      <c r="CN29"/>
      <c r="CO29"/>
      <c r="CP29"/>
      <c r="CQ29"/>
      <c r="CR29"/>
      <c r="CS29"/>
      <c r="CT29"/>
      <c r="CU29"/>
      <c r="CV29"/>
      <c r="CW29"/>
      <c r="CX29"/>
      <c r="CY29"/>
      <c r="CZ29"/>
      <c r="DA29"/>
      <c r="DB29"/>
      <c r="DC29"/>
      <c r="DD29"/>
      <c r="DE29"/>
      <c r="DF29"/>
      <c r="DG29"/>
      <c r="DH29"/>
      <c r="DI29"/>
      <c r="DJ29"/>
      <c r="DK29"/>
      <c r="DL29"/>
      <c r="DM29"/>
      <c r="DN29"/>
      <c r="DO29"/>
      <c r="DP29"/>
      <c r="DQ29"/>
      <c r="DR29"/>
      <c r="DS29"/>
      <c r="DT29"/>
      <c r="DU29"/>
      <c r="DV29"/>
      <c r="DW29"/>
      <c r="DX29"/>
      <c r="DY29"/>
      <c r="DZ29"/>
      <c r="EA29"/>
      <c r="EB29"/>
      <c r="EC29"/>
      <c r="ED29"/>
      <c r="EE29"/>
      <c r="EF29"/>
      <c r="EG29"/>
      <c r="EH29"/>
      <c r="EI29"/>
      <c r="EJ29"/>
      <c r="EK29"/>
      <c r="EL29"/>
      <c r="EM29"/>
      <c r="EN29"/>
      <c r="EO29"/>
      <c r="EP29"/>
      <c r="EQ29"/>
      <c r="ER29"/>
      <c r="ES29"/>
      <c r="ET29"/>
      <c r="EU29"/>
      <c r="EV29"/>
      <c r="EW29"/>
      <c r="EX29"/>
      <c r="EY29"/>
      <c r="EZ29"/>
      <c r="FA29"/>
      <c r="FB29"/>
      <c r="FC29"/>
      <c r="FD29"/>
      <c r="FE29"/>
      <c r="FF29"/>
      <c r="FG29"/>
      <c r="FH29"/>
      <c r="FI29"/>
      <c r="FJ29"/>
      <c r="FK29"/>
      <c r="FL29"/>
      <c r="FM29"/>
      <c r="FN29"/>
      <c r="FO29"/>
      <c r="FP29"/>
      <c r="FQ29"/>
      <c r="FR29"/>
      <c r="FS29"/>
      <c r="FT29"/>
      <c r="FU29"/>
      <c r="FV29"/>
      <c r="FW29"/>
      <c r="FX29"/>
      <c r="FY29"/>
      <c r="FZ29"/>
      <c r="GA29"/>
      <c r="GB29"/>
      <c r="GC29"/>
      <c r="GD29"/>
      <c r="GE29"/>
      <c r="GF29"/>
      <c r="GG29"/>
      <c r="GH29"/>
      <c r="GI29"/>
      <c r="GJ29"/>
      <c r="GK29"/>
      <c r="GL29"/>
      <c r="GM29"/>
      <c r="GN29"/>
      <c r="GO29"/>
      <c r="GP29"/>
      <c r="GQ29"/>
      <c r="GR29"/>
      <c r="GS29"/>
      <c r="GT29"/>
      <c r="GU29"/>
      <c r="GV29"/>
      <c r="GW29"/>
      <c r="GX29"/>
      <c r="GY29"/>
      <c r="GZ29"/>
      <c r="HA29"/>
      <c r="HB29"/>
      <c r="HC29"/>
      <c r="HD29"/>
      <c r="HE29"/>
      <c r="HF29"/>
      <c r="HG29"/>
      <c r="HH29"/>
      <c r="HI29"/>
      <c r="HJ29"/>
      <c r="HK29"/>
      <c r="HL29"/>
      <c r="HM29"/>
      <c r="HN29"/>
      <c r="HO29"/>
      <c r="HP29"/>
      <c r="HQ29"/>
      <c r="HR29"/>
      <c r="HS29"/>
      <c r="HT29"/>
      <c r="HU29"/>
      <c r="HV29"/>
      <c r="HW29"/>
      <c r="HX29"/>
      <c r="HY29"/>
      <c r="HZ29"/>
      <c r="IA29"/>
      <c r="IB29"/>
      <c r="IC29"/>
      <c r="ID29"/>
      <c r="IE29"/>
      <c r="IF29"/>
      <c r="IG29"/>
      <c r="IH29"/>
      <c r="II29"/>
      <c r="IJ29"/>
      <c r="IK29"/>
      <c r="IL29"/>
      <c r="IM29"/>
      <c r="IN29"/>
      <c r="IO29"/>
      <c r="IP29"/>
      <c r="IQ29"/>
      <c r="IR29"/>
      <c r="IS29"/>
      <c r="IT29"/>
      <c r="IU29"/>
      <c r="IV29"/>
      <c r="IW29"/>
      <c r="IX29"/>
      <c r="IY29"/>
      <c r="IZ29"/>
      <c r="JA29"/>
      <c r="JB29"/>
      <c r="JC29"/>
      <c r="JD29"/>
      <c r="JE29"/>
      <c r="JF29"/>
      <c r="JG29"/>
      <c r="JH29"/>
      <c r="JI29"/>
      <c r="JJ29"/>
      <c r="JK29"/>
      <c r="JL29"/>
      <c r="JM29"/>
      <c r="JN29"/>
      <c r="JO29"/>
      <c r="JP29"/>
      <c r="JQ29"/>
      <c r="JR29"/>
      <c r="JS29"/>
      <c r="JT29"/>
      <c r="JU29"/>
      <c r="JV29"/>
      <c r="JW29"/>
      <c r="JX29"/>
    </row>
    <row r="30" spans="1:284" s="1" customFormat="1" ht="14.4" customHeight="1">
      <c r="A30" s="21"/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2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/>
      <c r="BH30"/>
      <c r="BI30"/>
      <c r="BJ30"/>
      <c r="BK30"/>
      <c r="BL30"/>
      <c r="BM30"/>
      <c r="BN30"/>
      <c r="BO30"/>
      <c r="BP30"/>
      <c r="BQ30"/>
      <c r="BR30"/>
      <c r="BS30"/>
      <c r="BT30"/>
      <c r="BU30"/>
      <c r="BV30"/>
      <c r="BW30"/>
      <c r="BX30"/>
      <c r="BY30"/>
      <c r="BZ30"/>
      <c r="CA30"/>
      <c r="CB30"/>
      <c r="CC30"/>
      <c r="CD30"/>
      <c r="CE30"/>
      <c r="CF30"/>
      <c r="CG30"/>
      <c r="CH30"/>
      <c r="CI30"/>
      <c r="CJ30"/>
      <c r="CK30"/>
      <c r="CL30"/>
      <c r="CM30"/>
      <c r="CN30"/>
      <c r="CO30"/>
      <c r="CP30"/>
      <c r="CQ30"/>
      <c r="CR30"/>
      <c r="CS30"/>
      <c r="CT30"/>
      <c r="CU30"/>
      <c r="CV30"/>
      <c r="CW30"/>
      <c r="CX30"/>
      <c r="CY30"/>
      <c r="CZ30"/>
      <c r="DA30"/>
      <c r="DB30"/>
      <c r="DC30"/>
      <c r="DD30"/>
      <c r="DE30"/>
      <c r="DF30"/>
      <c r="DG30"/>
      <c r="DH30"/>
      <c r="DI30"/>
      <c r="DJ30"/>
      <c r="DK30"/>
      <c r="DL30"/>
      <c r="DM30"/>
      <c r="DN30"/>
      <c r="DO30"/>
      <c r="DP30"/>
      <c r="DQ30"/>
      <c r="DR30"/>
      <c r="DS30"/>
      <c r="DT30"/>
      <c r="DU30"/>
      <c r="DV30"/>
      <c r="DW30"/>
      <c r="DX30"/>
      <c r="DY30"/>
      <c r="DZ30"/>
      <c r="EA30"/>
      <c r="EB30"/>
      <c r="EC30"/>
      <c r="ED30"/>
      <c r="EE30"/>
      <c r="EF30"/>
      <c r="EG30"/>
      <c r="EH30"/>
      <c r="EI30"/>
      <c r="EJ30"/>
      <c r="EK30"/>
      <c r="EL30"/>
      <c r="EM30"/>
      <c r="EN30"/>
      <c r="EO30"/>
      <c r="EP30"/>
      <c r="EQ30"/>
      <c r="ER30"/>
      <c r="ES30"/>
      <c r="ET30"/>
      <c r="EU30"/>
      <c r="EV30"/>
      <c r="EW30"/>
      <c r="EX30"/>
      <c r="EY30"/>
      <c r="EZ30"/>
      <c r="FA30"/>
      <c r="FB30"/>
      <c r="FC30"/>
      <c r="FD30"/>
      <c r="FE30"/>
      <c r="FF30"/>
      <c r="FG30"/>
      <c r="FH30"/>
      <c r="FI30"/>
      <c r="FJ30"/>
      <c r="FK30"/>
      <c r="FL30"/>
      <c r="FM30"/>
      <c r="FN30"/>
      <c r="FO30"/>
      <c r="FP30"/>
      <c r="FQ30"/>
      <c r="FR30"/>
      <c r="FS30"/>
      <c r="FT30"/>
      <c r="FU30"/>
      <c r="FV30"/>
      <c r="FW30"/>
      <c r="FX30"/>
      <c r="FY30"/>
      <c r="FZ30"/>
      <c r="GA30"/>
      <c r="GB30"/>
      <c r="GC30"/>
      <c r="GD30"/>
      <c r="GE30"/>
      <c r="GF30"/>
      <c r="GG30"/>
      <c r="GH30"/>
      <c r="GI30"/>
      <c r="GJ30"/>
      <c r="GK30"/>
      <c r="GL30"/>
      <c r="GM30"/>
      <c r="GN30"/>
      <c r="GO30"/>
      <c r="GP30"/>
      <c r="GQ30"/>
      <c r="GR30"/>
      <c r="GS30"/>
      <c r="GT30"/>
      <c r="GU30"/>
      <c r="GV30"/>
      <c r="GW30"/>
      <c r="GX30"/>
      <c r="GY30"/>
      <c r="GZ30"/>
      <c r="HA30"/>
      <c r="HB30"/>
      <c r="HC30"/>
      <c r="HD30"/>
      <c r="HE30"/>
      <c r="HF30"/>
      <c r="HG30"/>
      <c r="HH30"/>
      <c r="HI30"/>
      <c r="HJ30"/>
      <c r="HK30"/>
      <c r="HL30"/>
      <c r="HM30"/>
      <c r="HN30"/>
      <c r="HO30"/>
      <c r="HP30"/>
      <c r="HQ30"/>
      <c r="HR30"/>
      <c r="HS30"/>
      <c r="HT30"/>
      <c r="HU30"/>
      <c r="HV30"/>
      <c r="HW30"/>
      <c r="HX30"/>
      <c r="HY30"/>
      <c r="HZ30"/>
      <c r="IA30"/>
      <c r="IB30"/>
      <c r="IC30"/>
      <c r="ID30"/>
      <c r="IE30"/>
      <c r="IF30"/>
      <c r="IG30"/>
      <c r="IH30"/>
      <c r="II30"/>
      <c r="IJ30"/>
      <c r="IK30"/>
      <c r="IL30"/>
      <c r="IM30"/>
      <c r="IN30"/>
      <c r="IO30"/>
      <c r="IP30"/>
      <c r="IQ30"/>
      <c r="IR30"/>
      <c r="IS30"/>
      <c r="IT30"/>
      <c r="IU30"/>
      <c r="IV30"/>
      <c r="IW30"/>
      <c r="IX30"/>
      <c r="IY30"/>
      <c r="IZ30"/>
      <c r="JA30"/>
      <c r="JB30"/>
      <c r="JC30"/>
      <c r="JD30"/>
      <c r="JE30"/>
      <c r="JF30"/>
      <c r="JG30"/>
      <c r="JH30"/>
      <c r="JI30"/>
      <c r="JJ30"/>
      <c r="JK30"/>
      <c r="JL30"/>
      <c r="JM30"/>
      <c r="JN30"/>
      <c r="JO30"/>
      <c r="JP30"/>
      <c r="JQ30"/>
      <c r="JR30"/>
      <c r="JS30"/>
      <c r="JT30"/>
      <c r="JU30"/>
      <c r="JV30"/>
      <c r="JW30"/>
      <c r="JX30"/>
    </row>
    <row r="31" spans="1:284" s="1" customFormat="1" ht="14.4" customHeight="1">
      <c r="A31" s="21"/>
      <c r="B31" s="31"/>
      <c r="C31" s="31"/>
      <c r="D31" s="31"/>
      <c r="E31" s="31"/>
      <c r="F31" s="31"/>
      <c r="G31" s="31"/>
      <c r="H31" s="31"/>
      <c r="I31" s="31"/>
      <c r="J31" s="31"/>
      <c r="K31" s="31"/>
      <c r="L31" s="31"/>
      <c r="M31" s="31"/>
      <c r="N31" s="31"/>
      <c r="O31" s="31"/>
      <c r="P31" s="31"/>
      <c r="Q31" s="31"/>
      <c r="R31" s="31"/>
      <c r="S31" s="32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</row>
    <row r="32" spans="1:284" s="1" customFormat="1" ht="14.4" customHeight="1">
      <c r="A32" s="21"/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  <c r="O32" s="31"/>
      <c r="P32" s="31"/>
      <c r="Q32" s="31"/>
      <c r="R32" s="31"/>
      <c r="S32" s="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</row>
    <row r="33" spans="1:284" s="1" customFormat="1" ht="14.4" customHeight="1">
      <c r="A33" s="21"/>
      <c r="B33" s="31"/>
      <c r="C33" s="31"/>
      <c r="D33" s="31"/>
      <c r="E33" s="31"/>
      <c r="F33" s="31"/>
      <c r="G33" s="31"/>
      <c r="H33" s="31"/>
      <c r="I33" s="31"/>
      <c r="J33" s="31"/>
      <c r="K33" s="31"/>
      <c r="L33" s="31"/>
      <c r="M33" s="31"/>
      <c r="N33" s="31"/>
      <c r="O33" s="31"/>
      <c r="P33" s="31"/>
      <c r="Q33" s="31"/>
      <c r="R33" s="31"/>
      <c r="S33" s="32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</row>
    <row r="34" spans="1:284" ht="14.4" customHeight="1">
      <c r="A34" s="2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2"/>
    </row>
    <row r="35" spans="1:284" ht="14.4" customHeight="1">
      <c r="A35" s="21"/>
      <c r="B35" s="31"/>
      <c r="C35" s="31"/>
      <c r="D35" s="31"/>
      <c r="E35" s="31"/>
      <c r="F35" s="31"/>
      <c r="G35" s="31"/>
      <c r="H35" s="31"/>
      <c r="I35" s="31"/>
      <c r="J35" s="31"/>
      <c r="K35" s="34"/>
      <c r="L35" s="34"/>
      <c r="M35" s="34"/>
      <c r="N35" s="34"/>
      <c r="O35" s="34"/>
      <c r="P35" s="34"/>
      <c r="Q35" s="34"/>
      <c r="R35" s="34"/>
      <c r="S35" s="32"/>
    </row>
    <row r="36" spans="1:284" ht="14.4" customHeight="1">
      <c r="A36" s="21"/>
      <c r="B36" s="31"/>
      <c r="C36" s="31"/>
      <c r="D36" s="31"/>
      <c r="E36" s="31"/>
      <c r="F36" s="31"/>
      <c r="G36" s="31"/>
      <c r="H36" s="31"/>
      <c r="I36" s="31"/>
      <c r="J36" s="31"/>
      <c r="K36" s="34"/>
      <c r="L36" s="34"/>
      <c r="M36" s="34"/>
      <c r="N36" s="34"/>
      <c r="O36" s="34"/>
      <c r="P36" s="34"/>
      <c r="Q36" s="34"/>
      <c r="R36" s="34"/>
      <c r="S36" s="32"/>
    </row>
    <row r="37" spans="1:284" ht="14.4" customHeight="1">
      <c r="A37" s="21"/>
      <c r="B37" s="31"/>
      <c r="C37" s="31"/>
      <c r="D37" s="31"/>
      <c r="E37" s="31"/>
      <c r="F37" s="31"/>
      <c r="G37" s="31"/>
      <c r="H37" s="31"/>
      <c r="I37" s="31"/>
      <c r="J37" s="31"/>
      <c r="K37" s="34"/>
      <c r="L37" s="34"/>
      <c r="M37" s="34"/>
      <c r="N37" s="34"/>
      <c r="O37" s="34"/>
      <c r="P37" s="34"/>
      <c r="Q37" s="34"/>
      <c r="R37" s="34"/>
      <c r="S37" s="32"/>
    </row>
    <row r="38" spans="1:284" ht="14.4" customHeight="1">
      <c r="A38" s="21"/>
      <c r="B38" s="31"/>
      <c r="C38" s="31"/>
      <c r="D38" s="31"/>
      <c r="E38" s="31"/>
      <c r="F38" s="31"/>
      <c r="G38" s="31"/>
      <c r="H38" s="31"/>
      <c r="I38" s="31"/>
      <c r="J38" s="31"/>
      <c r="K38" s="34"/>
      <c r="L38" s="34"/>
      <c r="M38" s="34"/>
      <c r="N38" s="34"/>
      <c r="O38" s="34"/>
      <c r="P38" s="34"/>
      <c r="Q38" s="34"/>
      <c r="R38" s="34"/>
      <c r="S38" s="32"/>
    </row>
    <row r="39" spans="1:284" ht="14.4" customHeight="1">
      <c r="A39" s="21"/>
      <c r="B39" s="31"/>
      <c r="C39" s="31"/>
      <c r="D39" s="31"/>
      <c r="E39" s="31"/>
      <c r="F39" s="31"/>
      <c r="G39" s="31"/>
      <c r="H39" s="31"/>
      <c r="I39" s="31"/>
      <c r="J39" s="31"/>
      <c r="K39" s="34"/>
      <c r="L39" s="34"/>
      <c r="M39" s="34"/>
      <c r="N39" s="34"/>
      <c r="O39" s="34"/>
      <c r="P39" s="34"/>
      <c r="Q39" s="34"/>
      <c r="R39" s="34"/>
      <c r="S39" s="32"/>
    </row>
    <row r="40" spans="1:284" ht="14.4" customHeight="1">
      <c r="A40" s="21"/>
      <c r="B40" s="31"/>
      <c r="C40" s="31"/>
      <c r="D40" s="31"/>
      <c r="E40" s="31"/>
      <c r="F40" s="31"/>
      <c r="G40" s="31"/>
      <c r="H40" s="31"/>
      <c r="I40" s="31"/>
      <c r="J40" s="31"/>
      <c r="K40" s="34"/>
      <c r="L40" s="34"/>
      <c r="M40" s="34"/>
      <c r="N40" s="34"/>
      <c r="O40" s="34"/>
      <c r="P40" s="34"/>
      <c r="Q40" s="34"/>
      <c r="R40" s="34"/>
      <c r="S40" s="32"/>
    </row>
    <row r="41" spans="1:284" ht="14.4" customHeight="1">
      <c r="A41" s="21"/>
      <c r="B41" s="31"/>
      <c r="C41" s="31"/>
      <c r="D41" s="31"/>
      <c r="E41" s="31"/>
      <c r="F41" s="31"/>
      <c r="G41" s="31"/>
      <c r="H41" s="31"/>
      <c r="I41" s="31"/>
      <c r="J41" s="31"/>
      <c r="K41" s="34"/>
      <c r="L41" s="34"/>
      <c r="M41" s="34"/>
      <c r="N41" s="34"/>
      <c r="O41" s="34"/>
      <c r="P41" s="34"/>
      <c r="Q41" s="34"/>
      <c r="R41" s="34"/>
      <c r="S41" s="32"/>
    </row>
    <row r="42" spans="1:284" ht="14.4" customHeight="1">
      <c r="A42" s="21"/>
      <c r="B42" s="31"/>
      <c r="C42" s="31"/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  <c r="P42" s="31"/>
      <c r="Q42" s="31"/>
      <c r="R42" s="31"/>
      <c r="S42" s="32"/>
    </row>
    <row r="43" spans="1:284" ht="14.4" customHeight="1">
      <c r="A43" s="21"/>
      <c r="B43" s="34"/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2"/>
    </row>
    <row r="44" spans="1:284" ht="14.4" customHeight="1" thickBot="1">
      <c r="A44" s="35"/>
      <c r="B44" s="36"/>
      <c r="C44" s="36"/>
      <c r="D44" s="36"/>
      <c r="E44" s="36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7"/>
    </row>
    <row r="45" spans="1:284" ht="15" thickTop="1"/>
  </sheetData>
  <sheetProtection selectLockedCells="1" selectUnlockedCells="1"/>
  <mergeCells count="1">
    <mergeCell ref="A1:S2"/>
  </mergeCells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theme="3" tint="0.39997558519241921"/>
  </sheetPr>
  <dimension ref="A1:O109"/>
  <sheetViews>
    <sheetView zoomScaleNormal="100" workbookViewId="0">
      <pane ySplit="1" topLeftCell="A23" activePane="bottomLeft" state="frozen"/>
      <selection activeCell="E18" sqref="E18"/>
      <selection pane="bottomLeft" activeCell="K70" sqref="K70"/>
    </sheetView>
  </sheetViews>
  <sheetFormatPr defaultColWidth="8.88671875" defaultRowHeight="14.4"/>
  <cols>
    <col min="1" max="1" width="14" bestFit="1" customWidth="1"/>
    <col min="2" max="2" width="15.44140625" style="14" bestFit="1" customWidth="1"/>
    <col min="3" max="3" width="16.44140625" style="14" bestFit="1" customWidth="1"/>
    <col min="4" max="5" width="13.5546875" style="14" bestFit="1" customWidth="1"/>
    <col min="6" max="6" width="13.6640625" style="14" bestFit="1" customWidth="1"/>
    <col min="7" max="7" width="17.109375" style="12" bestFit="1" customWidth="1"/>
    <col min="8" max="8" width="20.33203125" style="14" bestFit="1" customWidth="1"/>
    <col min="9" max="9" width="21.5546875" style="14" bestFit="1" customWidth="1"/>
    <col min="10" max="10" width="10.6640625" style="14" customWidth="1"/>
    <col min="11" max="11" width="19" style="41" bestFit="1" customWidth="1"/>
    <col min="12" max="12" width="20.5546875" style="14" bestFit="1" customWidth="1"/>
    <col min="13" max="13" width="11.33203125" bestFit="1" customWidth="1"/>
    <col min="14" max="14" width="12.33203125" bestFit="1" customWidth="1"/>
    <col min="15" max="15" width="13.44140625" bestFit="1" customWidth="1"/>
    <col min="16" max="16384" width="8.88671875" style="13"/>
  </cols>
  <sheetData>
    <row r="1" spans="1:15" s="17" customFormat="1" ht="21">
      <c r="A1" s="47" t="s">
        <v>0</v>
      </c>
      <c r="B1" s="48" t="s">
        <v>1</v>
      </c>
      <c r="C1" s="49" t="s">
        <v>2</v>
      </c>
      <c r="D1" s="49" t="s">
        <v>3</v>
      </c>
      <c r="E1" s="50" t="s">
        <v>4</v>
      </c>
      <c r="F1" s="50" t="s">
        <v>5</v>
      </c>
      <c r="G1" s="51" t="s">
        <v>419</v>
      </c>
      <c r="H1" s="50" t="s">
        <v>6</v>
      </c>
      <c r="I1" s="50" t="s">
        <v>7</v>
      </c>
      <c r="J1" s="50" t="s">
        <v>8</v>
      </c>
      <c r="K1" s="52" t="s">
        <v>9</v>
      </c>
      <c r="L1" s="50" t="s">
        <v>10</v>
      </c>
      <c r="M1" s="50" t="s">
        <v>11</v>
      </c>
      <c r="N1" s="50" t="s">
        <v>12</v>
      </c>
      <c r="O1" s="53" t="s">
        <v>13</v>
      </c>
    </row>
    <row r="2" spans="1:15">
      <c r="A2" s="54" t="s">
        <v>517</v>
      </c>
      <c r="B2" s="42" t="s">
        <v>14</v>
      </c>
      <c r="C2" s="42" t="s">
        <v>63</v>
      </c>
      <c r="D2" s="42" t="s">
        <v>63</v>
      </c>
      <c r="E2" s="42" t="s">
        <v>64</v>
      </c>
      <c r="F2" s="42" t="s">
        <v>238</v>
      </c>
      <c r="G2" s="42" t="s">
        <v>432</v>
      </c>
      <c r="H2" s="42" t="s">
        <v>736</v>
      </c>
      <c r="I2" s="42" t="s">
        <v>767</v>
      </c>
      <c r="J2" s="42" t="s">
        <v>123</v>
      </c>
      <c r="K2" s="42">
        <v>46006</v>
      </c>
      <c r="L2" s="42">
        <v>47101</v>
      </c>
      <c r="M2" s="42" t="s">
        <v>17</v>
      </c>
      <c r="N2" s="42" t="s">
        <v>18</v>
      </c>
      <c r="O2" s="55"/>
    </row>
    <row r="3" spans="1:15">
      <c r="A3" s="54" t="s">
        <v>518</v>
      </c>
      <c r="B3" s="42" t="s">
        <v>14</v>
      </c>
      <c r="C3" s="42" t="s">
        <v>63</v>
      </c>
      <c r="D3" s="42" t="s">
        <v>63</v>
      </c>
      <c r="E3" s="42" t="s">
        <v>64</v>
      </c>
      <c r="F3" s="42" t="s">
        <v>393</v>
      </c>
      <c r="G3" s="42" t="s">
        <v>433</v>
      </c>
      <c r="H3" s="42" t="s">
        <v>487</v>
      </c>
      <c r="I3" s="42" t="s">
        <v>768</v>
      </c>
      <c r="J3" s="42" t="s">
        <v>123</v>
      </c>
      <c r="K3" s="42">
        <v>46006</v>
      </c>
      <c r="L3" s="42">
        <v>47101</v>
      </c>
      <c r="M3" s="42" t="s">
        <v>17</v>
      </c>
      <c r="N3" s="42" t="s">
        <v>18</v>
      </c>
      <c r="O3" s="55"/>
    </row>
    <row r="4" spans="1:15">
      <c r="A4" s="54" t="s">
        <v>519</v>
      </c>
      <c r="B4" s="42" t="s">
        <v>14</v>
      </c>
      <c r="C4" s="42" t="s">
        <v>63</v>
      </c>
      <c r="D4" s="42" t="s">
        <v>63</v>
      </c>
      <c r="E4" s="42" t="s">
        <v>64</v>
      </c>
      <c r="F4" s="42" t="s">
        <v>270</v>
      </c>
      <c r="G4" s="42" t="s">
        <v>434</v>
      </c>
      <c r="H4" s="42" t="s">
        <v>56</v>
      </c>
      <c r="I4" s="42" t="s">
        <v>769</v>
      </c>
      <c r="J4" s="42" t="s">
        <v>123</v>
      </c>
      <c r="K4" s="42">
        <v>46006</v>
      </c>
      <c r="L4" s="42">
        <v>47101</v>
      </c>
      <c r="M4" s="42" t="s">
        <v>17</v>
      </c>
      <c r="N4" s="42" t="s">
        <v>18</v>
      </c>
      <c r="O4" s="55"/>
    </row>
    <row r="5" spans="1:15">
      <c r="A5" s="54" t="s">
        <v>520</v>
      </c>
      <c r="B5" s="42" t="s">
        <v>14</v>
      </c>
      <c r="C5" s="42" t="s">
        <v>63</v>
      </c>
      <c r="D5" s="42" t="s">
        <v>63</v>
      </c>
      <c r="E5" s="42" t="s">
        <v>64</v>
      </c>
      <c r="F5" s="42" t="s">
        <v>406</v>
      </c>
      <c r="G5" s="42" t="s">
        <v>435</v>
      </c>
      <c r="H5" s="42" t="s">
        <v>737</v>
      </c>
      <c r="I5" s="42" t="s">
        <v>770</v>
      </c>
      <c r="J5" s="42" t="s">
        <v>123</v>
      </c>
      <c r="K5" s="42">
        <v>46006</v>
      </c>
      <c r="L5" s="42">
        <v>47101</v>
      </c>
      <c r="M5" s="42" t="s">
        <v>17</v>
      </c>
      <c r="N5" s="42" t="s">
        <v>18</v>
      </c>
      <c r="O5" s="55"/>
    </row>
    <row r="6" spans="1:15">
      <c r="A6" s="54" t="s">
        <v>521</v>
      </c>
      <c r="B6" s="42" t="s">
        <v>14</v>
      </c>
      <c r="C6" s="42" t="s">
        <v>63</v>
      </c>
      <c r="D6" s="42" t="s">
        <v>63</v>
      </c>
      <c r="E6" s="42" t="s">
        <v>64</v>
      </c>
      <c r="F6" s="42" t="s">
        <v>558</v>
      </c>
      <c r="G6" s="42" t="s">
        <v>436</v>
      </c>
      <c r="H6" s="42" t="s">
        <v>58</v>
      </c>
      <c r="I6" s="42" t="s">
        <v>771</v>
      </c>
      <c r="J6" s="42" t="s">
        <v>123</v>
      </c>
      <c r="K6" s="42">
        <v>46006</v>
      </c>
      <c r="L6" s="42">
        <v>47101</v>
      </c>
      <c r="M6" s="42" t="s">
        <v>17</v>
      </c>
      <c r="N6" s="42" t="s">
        <v>18</v>
      </c>
      <c r="O6" s="55"/>
    </row>
    <row r="7" spans="1:15">
      <c r="A7" s="54" t="s">
        <v>522</v>
      </c>
      <c r="B7" s="42" t="s">
        <v>14</v>
      </c>
      <c r="C7" s="42" t="s">
        <v>63</v>
      </c>
      <c r="D7" s="42" t="s">
        <v>63</v>
      </c>
      <c r="E7" s="42" t="s">
        <v>64</v>
      </c>
      <c r="F7" s="42" t="s">
        <v>237</v>
      </c>
      <c r="G7" s="42" t="s">
        <v>437</v>
      </c>
      <c r="H7" s="42" t="s">
        <v>59</v>
      </c>
      <c r="I7" s="42" t="s">
        <v>769</v>
      </c>
      <c r="J7" s="42" t="s">
        <v>123</v>
      </c>
      <c r="K7" s="42">
        <v>46006</v>
      </c>
      <c r="L7" s="42">
        <v>47101</v>
      </c>
      <c r="M7" s="42" t="s">
        <v>17</v>
      </c>
      <c r="N7" s="42" t="s">
        <v>18</v>
      </c>
      <c r="O7" s="55"/>
    </row>
    <row r="8" spans="1:15">
      <c r="A8" s="54" t="s">
        <v>523</v>
      </c>
      <c r="B8" s="42" t="s">
        <v>14</v>
      </c>
      <c r="C8" s="42" t="s">
        <v>63</v>
      </c>
      <c r="D8" s="42" t="s">
        <v>63</v>
      </c>
      <c r="E8" s="42" t="s">
        <v>64</v>
      </c>
      <c r="F8" s="42" t="s">
        <v>248</v>
      </c>
      <c r="G8" s="42" t="s">
        <v>438</v>
      </c>
      <c r="H8" s="42" t="s">
        <v>60</v>
      </c>
      <c r="I8" s="42" t="s">
        <v>279</v>
      </c>
      <c r="J8" s="42" t="s">
        <v>123</v>
      </c>
      <c r="K8" s="42">
        <v>46006</v>
      </c>
      <c r="L8" s="42">
        <v>47101</v>
      </c>
      <c r="M8" s="42" t="s">
        <v>17</v>
      </c>
      <c r="N8" s="42" t="s">
        <v>18</v>
      </c>
      <c r="O8" s="55"/>
    </row>
    <row r="9" spans="1:15">
      <c r="A9" s="54" t="s">
        <v>524</v>
      </c>
      <c r="B9" s="42" t="s">
        <v>14</v>
      </c>
      <c r="C9" s="42" t="s">
        <v>63</v>
      </c>
      <c r="D9" s="42" t="s">
        <v>63</v>
      </c>
      <c r="E9" s="42" t="s">
        <v>64</v>
      </c>
      <c r="F9" s="42" t="s">
        <v>236</v>
      </c>
      <c r="G9" s="42" t="s">
        <v>439</v>
      </c>
      <c r="H9" s="42" t="s">
        <v>738</v>
      </c>
      <c r="I9" s="42" t="s">
        <v>769</v>
      </c>
      <c r="J9" s="42" t="s">
        <v>123</v>
      </c>
      <c r="K9" s="42">
        <v>46006</v>
      </c>
      <c r="L9" s="42">
        <v>47101</v>
      </c>
      <c r="M9" s="42" t="s">
        <v>17</v>
      </c>
      <c r="N9" s="42" t="s">
        <v>18</v>
      </c>
      <c r="O9" s="55"/>
    </row>
    <row r="10" spans="1:15">
      <c r="A10" s="54" t="s">
        <v>525</v>
      </c>
      <c r="B10" s="42" t="s">
        <v>14</v>
      </c>
      <c r="C10" s="42" t="s">
        <v>63</v>
      </c>
      <c r="D10" s="42" t="s">
        <v>63</v>
      </c>
      <c r="E10" s="42" t="s">
        <v>64</v>
      </c>
      <c r="F10" s="42" t="s">
        <v>392</v>
      </c>
      <c r="G10" s="42" t="s">
        <v>440</v>
      </c>
      <c r="H10" s="42" t="s">
        <v>739</v>
      </c>
      <c r="I10" s="42" t="s">
        <v>135</v>
      </c>
      <c r="J10" s="42" t="s">
        <v>123</v>
      </c>
      <c r="K10" s="42">
        <v>46006</v>
      </c>
      <c r="L10" s="42">
        <v>47101</v>
      </c>
      <c r="M10" s="42" t="s">
        <v>17</v>
      </c>
      <c r="N10" s="42" t="s">
        <v>18</v>
      </c>
      <c r="O10" s="55"/>
    </row>
    <row r="11" spans="1:15">
      <c r="A11" s="54" t="s">
        <v>526</v>
      </c>
      <c r="B11" s="42" t="s">
        <v>14</v>
      </c>
      <c r="C11" s="42" t="s">
        <v>63</v>
      </c>
      <c r="D11" s="42" t="s">
        <v>63</v>
      </c>
      <c r="E11" s="42" t="s">
        <v>64</v>
      </c>
      <c r="F11" s="42" t="s">
        <v>235</v>
      </c>
      <c r="G11" s="42" t="s">
        <v>441</v>
      </c>
      <c r="H11" s="42" t="s">
        <v>61</v>
      </c>
      <c r="I11" s="42" t="s">
        <v>769</v>
      </c>
      <c r="J11" s="42" t="s">
        <v>123</v>
      </c>
      <c r="K11" s="42">
        <v>46006</v>
      </c>
      <c r="L11" s="42">
        <v>47101</v>
      </c>
      <c r="M11" s="42" t="s">
        <v>17</v>
      </c>
      <c r="N11" s="42" t="s">
        <v>18</v>
      </c>
      <c r="O11" s="55"/>
    </row>
    <row r="12" spans="1:15">
      <c r="A12" s="54" t="s">
        <v>527</v>
      </c>
      <c r="B12" s="42" t="s">
        <v>14</v>
      </c>
      <c r="C12" s="42" t="s">
        <v>63</v>
      </c>
      <c r="D12" s="42" t="s">
        <v>63</v>
      </c>
      <c r="E12" s="42" t="s">
        <v>64</v>
      </c>
      <c r="F12" s="42" t="s">
        <v>399</v>
      </c>
      <c r="G12" s="42" t="s">
        <v>442</v>
      </c>
      <c r="H12" s="42" t="s">
        <v>694</v>
      </c>
      <c r="I12" s="42" t="s">
        <v>772</v>
      </c>
      <c r="J12" s="42" t="s">
        <v>123</v>
      </c>
      <c r="K12" s="42">
        <v>46006</v>
      </c>
      <c r="L12" s="42">
        <v>47101</v>
      </c>
      <c r="M12" s="42" t="s">
        <v>17</v>
      </c>
      <c r="N12" s="42" t="s">
        <v>18</v>
      </c>
      <c r="O12" s="55"/>
    </row>
    <row r="13" spans="1:15">
      <c r="A13" s="54" t="s">
        <v>528</v>
      </c>
      <c r="B13" s="42" t="s">
        <v>14</v>
      </c>
      <c r="C13" s="42" t="s">
        <v>63</v>
      </c>
      <c r="D13" s="42" t="s">
        <v>63</v>
      </c>
      <c r="E13" s="42" t="s">
        <v>64</v>
      </c>
      <c r="F13" s="42" t="s">
        <v>234</v>
      </c>
      <c r="G13" s="42" t="s">
        <v>443</v>
      </c>
      <c r="H13" s="42" t="s">
        <v>740</v>
      </c>
      <c r="I13" s="42" t="s">
        <v>769</v>
      </c>
      <c r="J13" s="42" t="s">
        <v>123</v>
      </c>
      <c r="K13" s="42">
        <v>46006</v>
      </c>
      <c r="L13" s="42">
        <v>47101</v>
      </c>
      <c r="M13" s="42" t="s">
        <v>17</v>
      </c>
      <c r="N13" s="42" t="s">
        <v>18</v>
      </c>
      <c r="O13" s="55"/>
    </row>
    <row r="14" spans="1:15">
      <c r="A14" s="54" t="s">
        <v>529</v>
      </c>
      <c r="B14" s="42" t="s">
        <v>14</v>
      </c>
      <c r="C14" s="42" t="s">
        <v>63</v>
      </c>
      <c r="D14" s="42" t="s">
        <v>63</v>
      </c>
      <c r="E14" s="42" t="s">
        <v>64</v>
      </c>
      <c r="F14" s="42" t="s">
        <v>233</v>
      </c>
      <c r="G14" s="42" t="s">
        <v>444</v>
      </c>
      <c r="H14" s="42" t="s">
        <v>62</v>
      </c>
      <c r="I14" s="42" t="s">
        <v>770</v>
      </c>
      <c r="J14" s="42" t="s">
        <v>123</v>
      </c>
      <c r="K14" s="42">
        <v>46006</v>
      </c>
      <c r="L14" s="42">
        <v>47101</v>
      </c>
      <c r="M14" s="42" t="s">
        <v>17</v>
      </c>
      <c r="N14" s="42" t="s">
        <v>18</v>
      </c>
      <c r="O14" s="55"/>
    </row>
    <row r="15" spans="1:15">
      <c r="A15" s="54" t="s">
        <v>530</v>
      </c>
      <c r="B15" s="42" t="s">
        <v>14</v>
      </c>
      <c r="C15" s="42" t="s">
        <v>15</v>
      </c>
      <c r="D15" s="42" t="s">
        <v>15</v>
      </c>
      <c r="E15" s="42" t="s">
        <v>165</v>
      </c>
      <c r="F15" s="42" t="s">
        <v>166</v>
      </c>
      <c r="G15" s="42" t="s">
        <v>445</v>
      </c>
      <c r="H15" s="42" t="s">
        <v>741</v>
      </c>
      <c r="I15" s="42" t="s">
        <v>771</v>
      </c>
      <c r="J15" s="42" t="s">
        <v>123</v>
      </c>
      <c r="K15" s="42">
        <v>46006</v>
      </c>
      <c r="L15" s="42">
        <v>47101</v>
      </c>
      <c r="M15" s="42" t="s">
        <v>17</v>
      </c>
      <c r="N15" s="42" t="s">
        <v>18</v>
      </c>
      <c r="O15" s="55"/>
    </row>
    <row r="16" spans="1:15">
      <c r="A16" s="54" t="s">
        <v>531</v>
      </c>
      <c r="B16" s="42" t="s">
        <v>14</v>
      </c>
      <c r="C16" s="42" t="s">
        <v>20</v>
      </c>
      <c r="D16" s="42" t="s">
        <v>20</v>
      </c>
      <c r="E16" s="42" t="s">
        <v>404</v>
      </c>
      <c r="F16" s="42" t="s">
        <v>554</v>
      </c>
      <c r="G16" s="42" t="s">
        <v>446</v>
      </c>
      <c r="H16" s="42" t="s">
        <v>65</v>
      </c>
      <c r="I16" s="42" t="s">
        <v>279</v>
      </c>
      <c r="J16" s="42" t="s">
        <v>123</v>
      </c>
      <c r="K16" s="42">
        <v>44503</v>
      </c>
      <c r="L16" s="42" t="s">
        <v>561</v>
      </c>
      <c r="M16" s="42" t="s">
        <v>17</v>
      </c>
      <c r="N16" s="42" t="s">
        <v>18</v>
      </c>
      <c r="O16" s="55"/>
    </row>
    <row r="17" spans="1:15">
      <c r="A17" s="54" t="s">
        <v>532</v>
      </c>
      <c r="B17" s="42" t="s">
        <v>14</v>
      </c>
      <c r="C17" s="42" t="s">
        <v>15</v>
      </c>
      <c r="D17" s="42" t="s">
        <v>15</v>
      </c>
      <c r="E17" s="42" t="s">
        <v>154</v>
      </c>
      <c r="F17" s="42" t="s">
        <v>155</v>
      </c>
      <c r="G17" s="42" t="s">
        <v>447</v>
      </c>
      <c r="H17" s="42" t="s">
        <v>742</v>
      </c>
      <c r="I17" s="42" t="s">
        <v>769</v>
      </c>
      <c r="J17" s="42" t="s">
        <v>123</v>
      </c>
      <c r="K17" s="42"/>
      <c r="L17" s="42"/>
      <c r="M17" s="42" t="s">
        <v>17</v>
      </c>
      <c r="N17" s="42" t="s">
        <v>18</v>
      </c>
      <c r="O17" s="55"/>
    </row>
    <row r="18" spans="1:15">
      <c r="A18" s="54" t="s">
        <v>533</v>
      </c>
      <c r="B18" s="42" t="s">
        <v>14</v>
      </c>
      <c r="C18" s="42" t="s">
        <v>20</v>
      </c>
      <c r="D18" s="42" t="s">
        <v>20</v>
      </c>
      <c r="E18" s="42" t="s">
        <v>492</v>
      </c>
      <c r="F18" s="42" t="s">
        <v>249</v>
      </c>
      <c r="G18" s="42" t="s">
        <v>448</v>
      </c>
      <c r="H18" s="42" t="s">
        <v>67</v>
      </c>
      <c r="I18" s="42" t="s">
        <v>279</v>
      </c>
      <c r="J18" s="42" t="s">
        <v>123</v>
      </c>
      <c r="K18" s="42">
        <v>44321</v>
      </c>
      <c r="L18" s="42" t="s">
        <v>563</v>
      </c>
      <c r="M18" s="42" t="s">
        <v>17</v>
      </c>
      <c r="N18" s="42" t="s">
        <v>18</v>
      </c>
      <c r="O18" s="55"/>
    </row>
    <row r="19" spans="1:15">
      <c r="A19" s="54" t="s">
        <v>534</v>
      </c>
      <c r="B19" s="42" t="s">
        <v>14</v>
      </c>
      <c r="C19" s="42" t="s">
        <v>20</v>
      </c>
      <c r="D19" s="42" t="s">
        <v>20</v>
      </c>
      <c r="E19" s="42" t="s">
        <v>492</v>
      </c>
      <c r="F19" s="42" t="s">
        <v>493</v>
      </c>
      <c r="G19" s="42" t="s">
        <v>449</v>
      </c>
      <c r="H19" s="42" t="s">
        <v>68</v>
      </c>
      <c r="I19" s="42" t="s">
        <v>279</v>
      </c>
      <c r="J19" s="42" t="s">
        <v>123</v>
      </c>
      <c r="K19" s="42"/>
      <c r="L19" s="42"/>
      <c r="M19" s="42" t="s">
        <v>17</v>
      </c>
      <c r="N19" s="42" t="s">
        <v>18</v>
      </c>
      <c r="O19" s="55"/>
    </row>
    <row r="20" spans="1:15">
      <c r="A20" s="54" t="s">
        <v>535</v>
      </c>
      <c r="B20" s="42" t="s">
        <v>14</v>
      </c>
      <c r="C20" s="42" t="s">
        <v>15</v>
      </c>
      <c r="D20" s="42" t="s">
        <v>15</v>
      </c>
      <c r="E20" s="42" t="s">
        <v>564</v>
      </c>
      <c r="F20" s="42" t="s">
        <v>271</v>
      </c>
      <c r="G20" s="42" t="s">
        <v>450</v>
      </c>
      <c r="H20" s="42" t="s">
        <v>120</v>
      </c>
      <c r="I20" s="42" t="s">
        <v>16</v>
      </c>
      <c r="J20" s="42" t="s">
        <v>123</v>
      </c>
      <c r="K20" s="42" t="s">
        <v>565</v>
      </c>
      <c r="L20" s="42" t="s">
        <v>566</v>
      </c>
      <c r="M20" s="42" t="s">
        <v>121</v>
      </c>
      <c r="N20" s="42" t="s">
        <v>18</v>
      </c>
      <c r="O20" s="55"/>
    </row>
    <row r="21" spans="1:15">
      <c r="A21" s="54" t="s">
        <v>536</v>
      </c>
      <c r="B21" s="42" t="s">
        <v>14</v>
      </c>
      <c r="C21" s="42" t="s">
        <v>15</v>
      </c>
      <c r="D21" s="42" t="s">
        <v>15</v>
      </c>
      <c r="E21" s="42" t="s">
        <v>567</v>
      </c>
      <c r="F21" s="42" t="s">
        <v>555</v>
      </c>
      <c r="G21" s="42" t="s">
        <v>451</v>
      </c>
      <c r="H21" s="42" t="s">
        <v>743</v>
      </c>
      <c r="I21" s="42" t="s">
        <v>767</v>
      </c>
      <c r="J21" s="42" t="s">
        <v>123</v>
      </c>
      <c r="K21" s="42" t="s">
        <v>568</v>
      </c>
      <c r="L21" s="42" t="s">
        <v>569</v>
      </c>
      <c r="M21" s="42" t="s">
        <v>17</v>
      </c>
      <c r="N21" s="42" t="s">
        <v>18</v>
      </c>
      <c r="O21" s="55"/>
    </row>
    <row r="22" spans="1:15">
      <c r="A22" s="54" t="s">
        <v>537</v>
      </c>
      <c r="B22" s="42" t="s">
        <v>14</v>
      </c>
      <c r="C22" s="42" t="s">
        <v>15</v>
      </c>
      <c r="D22" s="42" t="s">
        <v>15</v>
      </c>
      <c r="E22" s="42" t="s">
        <v>277</v>
      </c>
      <c r="F22" s="42" t="s">
        <v>251</v>
      </c>
      <c r="G22" s="42" t="s">
        <v>453</v>
      </c>
      <c r="H22" s="42" t="s">
        <v>70</v>
      </c>
      <c r="I22" s="42" t="s">
        <v>279</v>
      </c>
      <c r="J22" s="42" t="s">
        <v>123</v>
      </c>
      <c r="K22" s="42"/>
      <c r="L22" s="42"/>
      <c r="M22" s="42" t="s">
        <v>17</v>
      </c>
      <c r="N22" s="42" t="s">
        <v>18</v>
      </c>
      <c r="O22" s="55"/>
    </row>
    <row r="23" spans="1:15">
      <c r="A23" s="54" t="s">
        <v>538</v>
      </c>
      <c r="B23" s="42" t="s">
        <v>14</v>
      </c>
      <c r="C23" s="42" t="s">
        <v>15</v>
      </c>
      <c r="D23" s="42" t="s">
        <v>15</v>
      </c>
      <c r="E23" s="42" t="s">
        <v>570</v>
      </c>
      <c r="F23" s="42" t="s">
        <v>259</v>
      </c>
      <c r="G23" s="42" t="s">
        <v>455</v>
      </c>
      <c r="H23" s="42" t="s">
        <v>744</v>
      </c>
      <c r="I23" s="42" t="s">
        <v>772</v>
      </c>
      <c r="J23" s="42" t="s">
        <v>123</v>
      </c>
      <c r="K23" s="42" t="s">
        <v>571</v>
      </c>
      <c r="L23" s="42" t="s">
        <v>572</v>
      </c>
      <c r="M23" s="42" t="s">
        <v>17</v>
      </c>
      <c r="N23" s="42" t="s">
        <v>18</v>
      </c>
      <c r="O23" s="55"/>
    </row>
    <row r="24" spans="1:15">
      <c r="A24" s="54" t="s">
        <v>539</v>
      </c>
      <c r="B24" s="42" t="s">
        <v>14</v>
      </c>
      <c r="C24" s="42" t="s">
        <v>160</v>
      </c>
      <c r="D24" s="42" t="s">
        <v>160</v>
      </c>
      <c r="E24" s="42" t="s">
        <v>161</v>
      </c>
      <c r="F24" s="42" t="s">
        <v>162</v>
      </c>
      <c r="G24" s="42" t="s">
        <v>460</v>
      </c>
      <c r="H24" s="42" t="s">
        <v>745</v>
      </c>
      <c r="I24" s="42" t="s">
        <v>769</v>
      </c>
      <c r="J24" s="42" t="s">
        <v>123</v>
      </c>
      <c r="K24" s="42"/>
      <c r="L24" s="42"/>
      <c r="M24" s="42" t="s">
        <v>17</v>
      </c>
      <c r="N24" s="42" t="s">
        <v>18</v>
      </c>
      <c r="O24" s="55"/>
    </row>
    <row r="25" spans="1:15">
      <c r="A25" s="54" t="s">
        <v>540</v>
      </c>
      <c r="B25" s="42" t="s">
        <v>14</v>
      </c>
      <c r="C25" s="42" t="s">
        <v>20</v>
      </c>
      <c r="D25" s="42" t="s">
        <v>20</v>
      </c>
      <c r="E25" s="42" t="s">
        <v>407</v>
      </c>
      <c r="F25" s="42" t="s">
        <v>408</v>
      </c>
      <c r="G25" s="42" t="s">
        <v>434</v>
      </c>
      <c r="H25" s="42" t="s">
        <v>56</v>
      </c>
      <c r="I25" s="42" t="s">
        <v>769</v>
      </c>
      <c r="J25" s="42" t="s">
        <v>123</v>
      </c>
      <c r="K25" s="42"/>
      <c r="L25" s="42"/>
      <c r="M25" s="42" t="s">
        <v>17</v>
      </c>
      <c r="N25" s="42" t="s">
        <v>18</v>
      </c>
      <c r="O25" s="55"/>
    </row>
    <row r="26" spans="1:15">
      <c r="A26" s="54" t="s">
        <v>541</v>
      </c>
      <c r="B26" s="42" t="s">
        <v>14</v>
      </c>
      <c r="C26" s="42" t="s">
        <v>15</v>
      </c>
      <c r="D26" s="42" t="s">
        <v>15</v>
      </c>
      <c r="E26" s="42" t="s">
        <v>188</v>
      </c>
      <c r="F26" s="42" t="s">
        <v>189</v>
      </c>
      <c r="G26" s="42" t="s">
        <v>443</v>
      </c>
      <c r="H26" s="42" t="s">
        <v>740</v>
      </c>
      <c r="I26" s="42" t="s">
        <v>769</v>
      </c>
      <c r="J26" s="42" t="s">
        <v>123</v>
      </c>
      <c r="K26" s="42"/>
      <c r="L26" s="42"/>
      <c r="M26" s="42" t="s">
        <v>17</v>
      </c>
      <c r="N26" s="42" t="s">
        <v>18</v>
      </c>
      <c r="O26" s="55"/>
    </row>
    <row r="27" spans="1:15">
      <c r="A27" s="54" t="s">
        <v>542</v>
      </c>
      <c r="B27" s="42" t="s">
        <v>14</v>
      </c>
      <c r="C27" s="42" t="s">
        <v>20</v>
      </c>
      <c r="D27" s="42" t="s">
        <v>20</v>
      </c>
      <c r="E27" s="42" t="s">
        <v>404</v>
      </c>
      <c r="F27" s="42" t="s">
        <v>405</v>
      </c>
      <c r="G27" s="42" t="s">
        <v>459</v>
      </c>
      <c r="H27" s="42" t="s">
        <v>746</v>
      </c>
      <c r="I27" s="42" t="s">
        <v>771</v>
      </c>
      <c r="J27" s="42" t="s">
        <v>123</v>
      </c>
      <c r="K27" s="42"/>
      <c r="L27" s="42"/>
      <c r="M27" s="42" t="s">
        <v>17</v>
      </c>
      <c r="N27" s="42" t="s">
        <v>18</v>
      </c>
      <c r="O27" s="55"/>
    </row>
    <row r="28" spans="1:15">
      <c r="A28" s="54" t="s">
        <v>543</v>
      </c>
      <c r="B28" s="42" t="s">
        <v>14</v>
      </c>
      <c r="C28" s="42" t="s">
        <v>15</v>
      </c>
      <c r="D28" s="42" t="s">
        <v>15</v>
      </c>
      <c r="E28" s="42" t="s">
        <v>573</v>
      </c>
      <c r="F28" s="42" t="s">
        <v>304</v>
      </c>
      <c r="G28" s="42" t="s">
        <v>461</v>
      </c>
      <c r="H28" s="42" t="s">
        <v>365</v>
      </c>
      <c r="I28" s="42" t="s">
        <v>769</v>
      </c>
      <c r="J28" s="42" t="s">
        <v>123</v>
      </c>
      <c r="K28" s="42" t="s">
        <v>574</v>
      </c>
      <c r="L28" s="42" t="s">
        <v>575</v>
      </c>
      <c r="M28" s="42" t="s">
        <v>17</v>
      </c>
      <c r="N28" s="42" t="s">
        <v>18</v>
      </c>
      <c r="O28" s="55"/>
    </row>
    <row r="29" spans="1:15">
      <c r="A29" s="54" t="s">
        <v>544</v>
      </c>
      <c r="B29" s="42" t="s">
        <v>14</v>
      </c>
      <c r="C29" s="42" t="s">
        <v>160</v>
      </c>
      <c r="D29" s="42" t="s">
        <v>160</v>
      </c>
      <c r="E29" s="42" t="s">
        <v>163</v>
      </c>
      <c r="F29" s="42" t="s">
        <v>164</v>
      </c>
      <c r="G29" s="42" t="s">
        <v>463</v>
      </c>
      <c r="H29" s="42" t="s">
        <v>747</v>
      </c>
      <c r="I29" s="42" t="s">
        <v>771</v>
      </c>
      <c r="J29" s="42" t="s">
        <v>123</v>
      </c>
      <c r="K29" s="42"/>
      <c r="L29" s="42"/>
      <c r="M29" s="42" t="s">
        <v>17</v>
      </c>
      <c r="N29" s="42" t="s">
        <v>18</v>
      </c>
      <c r="O29" s="55"/>
    </row>
    <row r="30" spans="1:15">
      <c r="A30" s="54" t="s">
        <v>545</v>
      </c>
      <c r="B30" s="42" t="s">
        <v>14</v>
      </c>
      <c r="C30" s="42" t="s">
        <v>15</v>
      </c>
      <c r="D30" s="42" t="s">
        <v>15</v>
      </c>
      <c r="E30" s="42" t="s">
        <v>577</v>
      </c>
      <c r="F30" s="42" t="s">
        <v>401</v>
      </c>
      <c r="G30" s="42" t="s">
        <v>464</v>
      </c>
      <c r="H30" s="42" t="s">
        <v>748</v>
      </c>
      <c r="I30" s="42" t="s">
        <v>771</v>
      </c>
      <c r="J30" s="42" t="s">
        <v>123</v>
      </c>
      <c r="K30" s="42" t="s">
        <v>576</v>
      </c>
      <c r="L30" s="42" t="s">
        <v>578</v>
      </c>
      <c r="M30" s="42" t="s">
        <v>17</v>
      </c>
      <c r="N30" s="42" t="s">
        <v>18</v>
      </c>
      <c r="O30" s="55"/>
    </row>
    <row r="31" spans="1:15">
      <c r="A31" s="54" t="s">
        <v>546</v>
      </c>
      <c r="B31" s="42" t="s">
        <v>14</v>
      </c>
      <c r="C31" s="42" t="s">
        <v>15</v>
      </c>
      <c r="D31" s="42" t="s">
        <v>15</v>
      </c>
      <c r="E31" s="42" t="s">
        <v>570</v>
      </c>
      <c r="F31" s="42" t="s">
        <v>556</v>
      </c>
      <c r="G31" s="42" t="s">
        <v>465</v>
      </c>
      <c r="H31" s="42" t="s">
        <v>749</v>
      </c>
      <c r="I31" s="42" t="s">
        <v>141</v>
      </c>
      <c r="J31" s="42" t="s">
        <v>123</v>
      </c>
      <c r="K31" s="42" t="s">
        <v>579</v>
      </c>
      <c r="L31" s="42" t="s">
        <v>580</v>
      </c>
      <c r="M31" s="42" t="s">
        <v>17</v>
      </c>
      <c r="N31" s="42" t="s">
        <v>18</v>
      </c>
      <c r="O31" s="55"/>
    </row>
    <row r="32" spans="1:15">
      <c r="A32" s="54" t="s">
        <v>547</v>
      </c>
      <c r="B32" s="42" t="s">
        <v>14</v>
      </c>
      <c r="C32" s="42" t="s">
        <v>63</v>
      </c>
      <c r="D32" s="42" t="s">
        <v>63</v>
      </c>
      <c r="E32" s="42" t="s">
        <v>64</v>
      </c>
      <c r="F32" s="42" t="s">
        <v>270</v>
      </c>
      <c r="G32" s="42" t="s">
        <v>432</v>
      </c>
      <c r="H32" s="42" t="s">
        <v>182</v>
      </c>
      <c r="I32" s="42"/>
      <c r="J32" s="42" t="s">
        <v>123</v>
      </c>
      <c r="K32" s="42"/>
      <c r="L32" s="42"/>
      <c r="M32" s="42" t="s">
        <v>17</v>
      </c>
      <c r="N32" s="42" t="s">
        <v>18</v>
      </c>
      <c r="O32" s="55"/>
    </row>
    <row r="33" spans="1:15">
      <c r="A33" s="54" t="s">
        <v>548</v>
      </c>
      <c r="B33" s="42" t="s">
        <v>14</v>
      </c>
      <c r="C33" s="42" t="s">
        <v>15</v>
      </c>
      <c r="D33" s="42" t="s">
        <v>15</v>
      </c>
      <c r="E33" s="42" t="s">
        <v>273</v>
      </c>
      <c r="F33" s="42" t="s">
        <v>272</v>
      </c>
      <c r="G33" s="42" t="s">
        <v>432</v>
      </c>
      <c r="H33" s="42" t="s">
        <v>16</v>
      </c>
      <c r="I33" s="42"/>
      <c r="J33" s="42" t="s">
        <v>123</v>
      </c>
      <c r="K33" s="42"/>
      <c r="L33" s="42"/>
      <c r="M33" s="42" t="s">
        <v>17</v>
      </c>
      <c r="N33" s="42" t="s">
        <v>18</v>
      </c>
      <c r="O33" s="55"/>
    </row>
    <row r="34" spans="1:15">
      <c r="A34" s="54" t="s">
        <v>549</v>
      </c>
      <c r="B34" s="42" t="s">
        <v>14</v>
      </c>
      <c r="C34" s="42" t="s">
        <v>160</v>
      </c>
      <c r="D34" s="42" t="s">
        <v>160</v>
      </c>
      <c r="E34" s="42" t="s">
        <v>407</v>
      </c>
      <c r="F34" s="42" t="s">
        <v>581</v>
      </c>
      <c r="G34" s="42" t="s">
        <v>432</v>
      </c>
      <c r="H34" s="42" t="s">
        <v>16</v>
      </c>
      <c r="I34" s="42"/>
      <c r="J34" s="42" t="s">
        <v>123</v>
      </c>
      <c r="K34" s="42" t="s">
        <v>582</v>
      </c>
      <c r="L34" s="42" t="s">
        <v>583</v>
      </c>
      <c r="M34" s="42" t="s">
        <v>17</v>
      </c>
      <c r="N34" s="42" t="s">
        <v>18</v>
      </c>
      <c r="O34" s="55"/>
    </row>
    <row r="35" spans="1:15">
      <c r="A35" s="54" t="s">
        <v>550</v>
      </c>
      <c r="B35" s="42" t="s">
        <v>14</v>
      </c>
      <c r="C35" s="42" t="s">
        <v>15</v>
      </c>
      <c r="D35" s="42" t="s">
        <v>15</v>
      </c>
      <c r="E35" s="42" t="s">
        <v>156</v>
      </c>
      <c r="F35" s="42" t="s">
        <v>276</v>
      </c>
      <c r="G35" s="42" t="s">
        <v>477</v>
      </c>
      <c r="H35" s="42" t="s">
        <v>750</v>
      </c>
      <c r="I35" s="42" t="s">
        <v>141</v>
      </c>
      <c r="J35" s="42" t="s">
        <v>123</v>
      </c>
      <c r="K35" s="42"/>
      <c r="L35" s="42"/>
      <c r="M35" s="42" t="s">
        <v>17</v>
      </c>
      <c r="N35" s="42" t="s">
        <v>18</v>
      </c>
      <c r="O35" s="55"/>
    </row>
    <row r="36" spans="1:15">
      <c r="A36" s="54" t="s">
        <v>551</v>
      </c>
      <c r="B36" s="42" t="s">
        <v>14</v>
      </c>
      <c r="C36" s="42" t="s">
        <v>15</v>
      </c>
      <c r="D36" s="42" t="s">
        <v>15</v>
      </c>
      <c r="E36" s="42" t="s">
        <v>299</v>
      </c>
      <c r="F36" s="42" t="s">
        <v>298</v>
      </c>
      <c r="G36" s="42" t="s">
        <v>457</v>
      </c>
      <c r="H36" s="42" t="s">
        <v>751</v>
      </c>
      <c r="I36" s="42" t="s">
        <v>135</v>
      </c>
      <c r="J36" s="42" t="s">
        <v>123</v>
      </c>
      <c r="K36" s="42"/>
      <c r="L36" s="42"/>
      <c r="M36" s="42" t="s">
        <v>17</v>
      </c>
      <c r="N36" s="42" t="s">
        <v>18</v>
      </c>
      <c r="O36" s="55"/>
    </row>
    <row r="37" spans="1:15">
      <c r="A37" s="54" t="s">
        <v>552</v>
      </c>
      <c r="B37" s="42" t="s">
        <v>14</v>
      </c>
      <c r="C37" s="42" t="s">
        <v>20</v>
      </c>
      <c r="D37" s="42" t="s">
        <v>20</v>
      </c>
      <c r="E37" s="42" t="s">
        <v>286</v>
      </c>
      <c r="F37" s="42" t="s">
        <v>287</v>
      </c>
      <c r="G37" s="42" t="s">
        <v>432</v>
      </c>
      <c r="H37" s="42" t="s">
        <v>16</v>
      </c>
      <c r="I37" s="42"/>
      <c r="J37" s="42" t="s">
        <v>123</v>
      </c>
      <c r="K37" s="42"/>
      <c r="L37" s="42"/>
      <c r="M37" s="42" t="s">
        <v>17</v>
      </c>
      <c r="N37" s="42" t="s">
        <v>18</v>
      </c>
      <c r="O37" s="55"/>
    </row>
    <row r="38" spans="1:15">
      <c r="A38" s="54" t="s">
        <v>553</v>
      </c>
      <c r="B38" s="42" t="s">
        <v>14</v>
      </c>
      <c r="C38" s="42" t="s">
        <v>63</v>
      </c>
      <c r="D38" s="42" t="s">
        <v>63</v>
      </c>
      <c r="E38" s="42" t="s">
        <v>64</v>
      </c>
      <c r="F38" s="42" t="s">
        <v>288</v>
      </c>
      <c r="G38" s="42" t="s">
        <v>472</v>
      </c>
      <c r="H38" s="42" t="s">
        <v>752</v>
      </c>
      <c r="I38" s="42" t="s">
        <v>279</v>
      </c>
      <c r="J38" s="42" t="s">
        <v>123</v>
      </c>
      <c r="K38" s="42">
        <v>46160</v>
      </c>
      <c r="L38" s="42">
        <v>47255</v>
      </c>
      <c r="M38" s="42" t="s">
        <v>17</v>
      </c>
      <c r="N38" s="42" t="s">
        <v>18</v>
      </c>
      <c r="O38" s="55"/>
    </row>
    <row r="39" spans="1:15">
      <c r="A39" s="54" t="s">
        <v>585</v>
      </c>
      <c r="B39" s="42" t="s">
        <v>150</v>
      </c>
      <c r="C39" s="42" t="s">
        <v>15</v>
      </c>
      <c r="D39" s="42" t="s">
        <v>15</v>
      </c>
      <c r="E39" s="42" t="s">
        <v>277</v>
      </c>
      <c r="F39" s="42" t="s">
        <v>162</v>
      </c>
      <c r="G39" s="42" t="s">
        <v>452</v>
      </c>
      <c r="H39" s="42" t="s">
        <v>753</v>
      </c>
      <c r="I39" s="42" t="s">
        <v>279</v>
      </c>
      <c r="J39" s="42" t="s">
        <v>123</v>
      </c>
      <c r="K39" s="42"/>
      <c r="L39" s="42"/>
      <c r="M39" s="42" t="s">
        <v>17</v>
      </c>
      <c r="N39" s="42" t="s">
        <v>18</v>
      </c>
      <c r="O39" s="55"/>
    </row>
    <row r="40" spans="1:15">
      <c r="A40" s="54" t="s">
        <v>586</v>
      </c>
      <c r="B40" s="42" t="s">
        <v>150</v>
      </c>
      <c r="C40" s="42" t="s">
        <v>15</v>
      </c>
      <c r="D40" s="42" t="s">
        <v>15</v>
      </c>
      <c r="E40" s="42" t="s">
        <v>156</v>
      </c>
      <c r="F40" s="42" t="s">
        <v>408</v>
      </c>
      <c r="G40" s="42" t="s">
        <v>432</v>
      </c>
      <c r="H40" s="42" t="s">
        <v>208</v>
      </c>
      <c r="I40" s="42"/>
      <c r="J40" s="42" t="s">
        <v>123</v>
      </c>
      <c r="K40" s="42"/>
      <c r="L40" s="42"/>
      <c r="M40" s="42" t="s">
        <v>17</v>
      </c>
      <c r="N40" s="42" t="s">
        <v>18</v>
      </c>
      <c r="O40" s="55"/>
    </row>
    <row r="41" spans="1:15">
      <c r="A41" s="54" t="s">
        <v>587</v>
      </c>
      <c r="B41" s="42" t="s">
        <v>150</v>
      </c>
      <c r="C41" s="42" t="s">
        <v>15</v>
      </c>
      <c r="D41" s="42" t="s">
        <v>15</v>
      </c>
      <c r="E41" s="42" t="s">
        <v>631</v>
      </c>
      <c r="F41" s="42" t="s">
        <v>215</v>
      </c>
      <c r="G41" s="42" t="s">
        <v>432</v>
      </c>
      <c r="H41" s="42" t="s">
        <v>559</v>
      </c>
      <c r="I41" s="42"/>
      <c r="J41" s="42" t="s">
        <v>123</v>
      </c>
      <c r="K41" s="42" t="s">
        <v>632</v>
      </c>
      <c r="L41" s="42" t="s">
        <v>633</v>
      </c>
      <c r="M41" s="42" t="s">
        <v>17</v>
      </c>
      <c r="N41" s="42" t="s">
        <v>18</v>
      </c>
      <c r="O41" s="55"/>
    </row>
    <row r="42" spans="1:15">
      <c r="A42" s="54" t="s">
        <v>588</v>
      </c>
      <c r="B42" s="42" t="s">
        <v>150</v>
      </c>
      <c r="C42" s="42" t="s">
        <v>15</v>
      </c>
      <c r="D42" s="42" t="s">
        <v>15</v>
      </c>
      <c r="E42" s="42" t="s">
        <v>244</v>
      </c>
      <c r="F42" s="42" t="s">
        <v>189</v>
      </c>
      <c r="G42" s="42" t="s">
        <v>453</v>
      </c>
      <c r="H42" s="42" t="s">
        <v>70</v>
      </c>
      <c r="I42" s="42" t="s">
        <v>279</v>
      </c>
      <c r="J42" s="42" t="s">
        <v>123</v>
      </c>
      <c r="K42" s="42" t="s">
        <v>643</v>
      </c>
      <c r="L42" s="42" t="s">
        <v>661</v>
      </c>
      <c r="M42" s="42" t="s">
        <v>17</v>
      </c>
      <c r="N42" s="42" t="s">
        <v>18</v>
      </c>
      <c r="O42" s="55"/>
    </row>
    <row r="43" spans="1:15">
      <c r="A43" s="54" t="s">
        <v>589</v>
      </c>
      <c r="B43" s="42" t="s">
        <v>150</v>
      </c>
      <c r="C43" s="42" t="s">
        <v>15</v>
      </c>
      <c r="D43" s="42" t="s">
        <v>15</v>
      </c>
      <c r="E43" s="42" t="s">
        <v>634</v>
      </c>
      <c r="F43" s="42" t="s">
        <v>405</v>
      </c>
      <c r="G43" s="42" t="s">
        <v>446</v>
      </c>
      <c r="H43" s="42" t="s">
        <v>65</v>
      </c>
      <c r="I43" s="42" t="s">
        <v>279</v>
      </c>
      <c r="J43" s="42" t="s">
        <v>123</v>
      </c>
      <c r="K43" s="42" t="s">
        <v>635</v>
      </c>
      <c r="L43" s="42" t="s">
        <v>636</v>
      </c>
      <c r="M43" s="42" t="s">
        <v>17</v>
      </c>
      <c r="N43" s="42" t="s">
        <v>18</v>
      </c>
      <c r="O43" s="55"/>
    </row>
    <row r="44" spans="1:15">
      <c r="A44" s="54" t="s">
        <v>590</v>
      </c>
      <c r="B44" s="42" t="s">
        <v>150</v>
      </c>
      <c r="C44" s="42" t="s">
        <v>15</v>
      </c>
      <c r="D44" s="42" t="s">
        <v>15</v>
      </c>
      <c r="E44" s="42" t="s">
        <v>167</v>
      </c>
      <c r="F44" s="42" t="s">
        <v>304</v>
      </c>
      <c r="G44" s="42" t="s">
        <v>454</v>
      </c>
      <c r="H44" s="42" t="s">
        <v>754</v>
      </c>
      <c r="I44" s="42" t="s">
        <v>279</v>
      </c>
      <c r="J44" s="42" t="s">
        <v>123</v>
      </c>
      <c r="K44" s="42" t="s">
        <v>637</v>
      </c>
      <c r="L44" s="42" t="s">
        <v>638</v>
      </c>
      <c r="M44" s="42" t="s">
        <v>17</v>
      </c>
      <c r="N44" s="42" t="s">
        <v>18</v>
      </c>
      <c r="O44" s="55"/>
    </row>
    <row r="45" spans="1:15">
      <c r="A45" s="54" t="s">
        <v>591</v>
      </c>
      <c r="B45" s="42" t="s">
        <v>150</v>
      </c>
      <c r="C45" s="42" t="s">
        <v>15</v>
      </c>
      <c r="D45" s="42" t="s">
        <v>15</v>
      </c>
      <c r="E45" s="42" t="s">
        <v>178</v>
      </c>
      <c r="F45" s="42" t="s">
        <v>217</v>
      </c>
      <c r="G45" s="42" t="s">
        <v>449</v>
      </c>
      <c r="H45" s="42" t="s">
        <v>68</v>
      </c>
      <c r="I45" s="42" t="s">
        <v>279</v>
      </c>
      <c r="J45" s="42" t="s">
        <v>123</v>
      </c>
      <c r="K45" s="42" t="s">
        <v>639</v>
      </c>
      <c r="L45" s="42" t="s">
        <v>640</v>
      </c>
      <c r="M45" s="42" t="s">
        <v>17</v>
      </c>
      <c r="N45" s="42" t="s">
        <v>18</v>
      </c>
      <c r="O45" s="55"/>
    </row>
    <row r="46" spans="1:15">
      <c r="A46" s="54" t="s">
        <v>592</v>
      </c>
      <c r="B46" s="42" t="s">
        <v>150</v>
      </c>
      <c r="C46" s="42" t="s">
        <v>15</v>
      </c>
      <c r="D46" s="42" t="s">
        <v>15</v>
      </c>
      <c r="E46" s="42" t="s">
        <v>167</v>
      </c>
      <c r="F46" s="42" t="s">
        <v>218</v>
      </c>
      <c r="G46" s="42" t="s">
        <v>448</v>
      </c>
      <c r="H46" s="42" t="s">
        <v>67</v>
      </c>
      <c r="I46" s="42" t="s">
        <v>279</v>
      </c>
      <c r="J46" s="42" t="s">
        <v>123</v>
      </c>
      <c r="K46" s="42" t="s">
        <v>641</v>
      </c>
      <c r="L46" s="42" t="s">
        <v>642</v>
      </c>
      <c r="M46" s="42" t="s">
        <v>17</v>
      </c>
      <c r="N46" s="42" t="s">
        <v>18</v>
      </c>
      <c r="O46" s="55"/>
    </row>
    <row r="47" spans="1:15">
      <c r="A47" s="54" t="s">
        <v>593</v>
      </c>
      <c r="B47" s="42" t="s">
        <v>150</v>
      </c>
      <c r="C47" s="42" t="s">
        <v>15</v>
      </c>
      <c r="D47" s="42" t="s">
        <v>15</v>
      </c>
      <c r="E47" s="42" t="s">
        <v>301</v>
      </c>
      <c r="F47" s="42" t="s">
        <v>219</v>
      </c>
      <c r="G47" s="42" t="s">
        <v>432</v>
      </c>
      <c r="H47" s="42" t="s">
        <v>755</v>
      </c>
      <c r="I47" s="42" t="s">
        <v>141</v>
      </c>
      <c r="J47" s="42" t="s">
        <v>123</v>
      </c>
      <c r="K47" s="42" t="s">
        <v>643</v>
      </c>
      <c r="L47" s="42" t="s">
        <v>644</v>
      </c>
      <c r="M47" s="42" t="s">
        <v>17</v>
      </c>
      <c r="N47" s="42" t="s">
        <v>18</v>
      </c>
      <c r="O47" s="55"/>
    </row>
    <row r="48" spans="1:15">
      <c r="A48" s="54" t="s">
        <v>594</v>
      </c>
      <c r="B48" s="42" t="s">
        <v>150</v>
      </c>
      <c r="C48" s="42" t="s">
        <v>15</v>
      </c>
      <c r="D48" s="42" t="s">
        <v>15</v>
      </c>
      <c r="E48" s="42" t="s">
        <v>634</v>
      </c>
      <c r="F48" s="42" t="s">
        <v>164</v>
      </c>
      <c r="G48" s="42" t="s">
        <v>455</v>
      </c>
      <c r="H48" s="42" t="s">
        <v>744</v>
      </c>
      <c r="I48" s="42" t="s">
        <v>772</v>
      </c>
      <c r="J48" s="42" t="s">
        <v>123</v>
      </c>
      <c r="K48" s="42" t="s">
        <v>635</v>
      </c>
      <c r="L48" s="42" t="s">
        <v>645</v>
      </c>
      <c r="M48" s="42" t="s">
        <v>17</v>
      </c>
      <c r="N48" s="42" t="s">
        <v>18</v>
      </c>
      <c r="O48" s="55"/>
    </row>
    <row r="49" spans="1:15">
      <c r="A49" s="54" t="s">
        <v>595</v>
      </c>
      <c r="B49" s="42" t="s">
        <v>150</v>
      </c>
      <c r="C49" s="42" t="s">
        <v>20</v>
      </c>
      <c r="D49" s="42" t="s">
        <v>20</v>
      </c>
      <c r="E49" s="42" t="s">
        <v>646</v>
      </c>
      <c r="F49" s="42" t="s">
        <v>401</v>
      </c>
      <c r="G49" s="42" t="s">
        <v>456</v>
      </c>
      <c r="H49" s="42" t="s">
        <v>756</v>
      </c>
      <c r="I49" s="42" t="s">
        <v>141</v>
      </c>
      <c r="J49" s="42" t="s">
        <v>123</v>
      </c>
      <c r="K49" s="42" t="s">
        <v>647</v>
      </c>
      <c r="L49" s="42" t="s">
        <v>648</v>
      </c>
      <c r="M49" s="42" t="s">
        <v>17</v>
      </c>
      <c r="N49" s="42" t="s">
        <v>18</v>
      </c>
      <c r="O49" s="55"/>
    </row>
    <row r="50" spans="1:15">
      <c r="A50" s="54" t="s">
        <v>596</v>
      </c>
      <c r="B50" s="42" t="s">
        <v>150</v>
      </c>
      <c r="C50" s="42" t="s">
        <v>15</v>
      </c>
      <c r="D50" s="42" t="s">
        <v>15</v>
      </c>
      <c r="E50" s="42" t="s">
        <v>634</v>
      </c>
      <c r="F50" s="42" t="s">
        <v>556</v>
      </c>
      <c r="G50" s="42" t="s">
        <v>457</v>
      </c>
      <c r="H50" s="42" t="s">
        <v>751</v>
      </c>
      <c r="I50" s="42" t="s">
        <v>135</v>
      </c>
      <c r="J50" s="42" t="s">
        <v>123</v>
      </c>
      <c r="K50" s="42" t="s">
        <v>635</v>
      </c>
      <c r="L50" s="42" t="s">
        <v>649</v>
      </c>
      <c r="M50" s="42" t="s">
        <v>17</v>
      </c>
      <c r="N50" s="42" t="s">
        <v>18</v>
      </c>
      <c r="O50" s="55"/>
    </row>
    <row r="51" spans="1:15">
      <c r="A51" s="54" t="s">
        <v>597</v>
      </c>
      <c r="B51" s="42" t="s">
        <v>150</v>
      </c>
      <c r="C51" s="42" t="s">
        <v>15</v>
      </c>
      <c r="D51" s="42" t="s">
        <v>15</v>
      </c>
      <c r="E51" s="42" t="s">
        <v>178</v>
      </c>
      <c r="F51" s="42" t="s">
        <v>177</v>
      </c>
      <c r="G51" s="42" t="s">
        <v>458</v>
      </c>
      <c r="H51" s="42" t="s">
        <v>757</v>
      </c>
      <c r="I51" s="42" t="s">
        <v>135</v>
      </c>
      <c r="J51" s="42" t="s">
        <v>123</v>
      </c>
      <c r="K51" s="42"/>
      <c r="L51" s="42"/>
      <c r="M51" s="42" t="s">
        <v>17</v>
      </c>
      <c r="N51" s="42" t="s">
        <v>18</v>
      </c>
      <c r="O51" s="55"/>
    </row>
    <row r="52" spans="1:15">
      <c r="A52" s="54" t="s">
        <v>598</v>
      </c>
      <c r="B52" s="42" t="s">
        <v>150</v>
      </c>
      <c r="C52" s="42" t="s">
        <v>15</v>
      </c>
      <c r="D52" s="42" t="s">
        <v>15</v>
      </c>
      <c r="E52" s="42" t="s">
        <v>156</v>
      </c>
      <c r="F52" s="42" t="s">
        <v>176</v>
      </c>
      <c r="G52" s="42" t="s">
        <v>459</v>
      </c>
      <c r="H52" s="42" t="s">
        <v>746</v>
      </c>
      <c r="I52" s="42" t="s">
        <v>771</v>
      </c>
      <c r="J52" s="42" t="s">
        <v>123</v>
      </c>
      <c r="K52" s="42" t="s">
        <v>650</v>
      </c>
      <c r="L52" s="42" t="s">
        <v>651</v>
      </c>
      <c r="M52" s="42" t="s">
        <v>17</v>
      </c>
      <c r="N52" s="42" t="s">
        <v>18</v>
      </c>
      <c r="O52" s="55"/>
    </row>
    <row r="53" spans="1:15">
      <c r="A53" s="54" t="s">
        <v>599</v>
      </c>
      <c r="B53" s="42" t="s">
        <v>150</v>
      </c>
      <c r="C53" s="42" t="s">
        <v>152</v>
      </c>
      <c r="D53" s="42" t="s">
        <v>152</v>
      </c>
      <c r="E53" s="42" t="s">
        <v>153</v>
      </c>
      <c r="F53" s="42" t="s">
        <v>174</v>
      </c>
      <c r="G53" s="42" t="s">
        <v>432</v>
      </c>
      <c r="H53" s="42" t="s">
        <v>736</v>
      </c>
      <c r="I53" s="42" t="s">
        <v>767</v>
      </c>
      <c r="J53" s="42" t="s">
        <v>123</v>
      </c>
      <c r="K53" s="42"/>
      <c r="L53" s="42"/>
      <c r="M53" s="42" t="s">
        <v>17</v>
      </c>
      <c r="N53" s="42" t="s">
        <v>18</v>
      </c>
      <c r="O53" s="55"/>
    </row>
    <row r="54" spans="1:15">
      <c r="A54" s="54" t="s">
        <v>600</v>
      </c>
      <c r="B54" s="42" t="s">
        <v>150</v>
      </c>
      <c r="C54" s="42" t="s">
        <v>15</v>
      </c>
      <c r="D54" s="42" t="s">
        <v>15</v>
      </c>
      <c r="E54" s="42" t="s">
        <v>180</v>
      </c>
      <c r="F54" s="42" t="s">
        <v>173</v>
      </c>
      <c r="G54" s="42" t="s">
        <v>434</v>
      </c>
      <c r="H54" s="42" t="s">
        <v>56</v>
      </c>
      <c r="I54" s="42" t="s">
        <v>769</v>
      </c>
      <c r="J54" s="42" t="s">
        <v>123</v>
      </c>
      <c r="K54" s="42"/>
      <c r="L54" s="42"/>
      <c r="M54" s="42" t="s">
        <v>17</v>
      </c>
      <c r="N54" s="42" t="s">
        <v>18</v>
      </c>
      <c r="O54" s="55"/>
    </row>
    <row r="55" spans="1:15">
      <c r="A55" s="54" t="s">
        <v>601</v>
      </c>
      <c r="B55" s="42" t="s">
        <v>150</v>
      </c>
      <c r="C55" s="42" t="s">
        <v>15</v>
      </c>
      <c r="D55" s="42" t="s">
        <v>15</v>
      </c>
      <c r="E55" s="42" t="s">
        <v>216</v>
      </c>
      <c r="F55" s="42" t="s">
        <v>400</v>
      </c>
      <c r="G55" s="42" t="s">
        <v>461</v>
      </c>
      <c r="H55" s="42" t="s">
        <v>365</v>
      </c>
      <c r="I55" s="42" t="s">
        <v>769</v>
      </c>
      <c r="J55" s="42" t="s">
        <v>123</v>
      </c>
      <c r="K55" s="42"/>
      <c r="L55" s="42"/>
      <c r="M55" s="42" t="s">
        <v>17</v>
      </c>
      <c r="N55" s="42" t="s">
        <v>18</v>
      </c>
      <c r="O55" s="55"/>
    </row>
    <row r="56" spans="1:15">
      <c r="A56" s="54" t="s">
        <v>602</v>
      </c>
      <c r="B56" s="42" t="s">
        <v>150</v>
      </c>
      <c r="C56" s="42" t="s">
        <v>15</v>
      </c>
      <c r="D56" s="42" t="s">
        <v>15</v>
      </c>
      <c r="E56" s="42" t="s">
        <v>634</v>
      </c>
      <c r="F56" s="42" t="s">
        <v>220</v>
      </c>
      <c r="G56" s="42" t="s">
        <v>435</v>
      </c>
      <c r="H56" s="42" t="s">
        <v>737</v>
      </c>
      <c r="I56" s="42" t="s">
        <v>770</v>
      </c>
      <c r="J56" s="42" t="s">
        <v>123</v>
      </c>
      <c r="K56" s="42" t="s">
        <v>635</v>
      </c>
      <c r="L56" s="42" t="s">
        <v>652</v>
      </c>
      <c r="M56" s="42" t="s">
        <v>17</v>
      </c>
      <c r="N56" s="42" t="s">
        <v>18</v>
      </c>
      <c r="O56" s="55"/>
    </row>
    <row r="57" spans="1:15">
      <c r="A57" s="54" t="s">
        <v>603</v>
      </c>
      <c r="B57" s="42" t="s">
        <v>150</v>
      </c>
      <c r="C57" s="42" t="s">
        <v>15</v>
      </c>
      <c r="D57" s="42" t="s">
        <v>15</v>
      </c>
      <c r="E57" s="42" t="s">
        <v>216</v>
      </c>
      <c r="F57" s="42" t="s">
        <v>168</v>
      </c>
      <c r="G57" s="42" t="s">
        <v>462</v>
      </c>
      <c r="H57" s="42" t="s">
        <v>758</v>
      </c>
      <c r="I57" s="42" t="s">
        <v>769</v>
      </c>
      <c r="J57" s="42" t="s">
        <v>123</v>
      </c>
      <c r="K57" s="42"/>
      <c r="L57" s="42"/>
      <c r="M57" s="42" t="s">
        <v>17</v>
      </c>
      <c r="N57" s="42" t="s">
        <v>18</v>
      </c>
      <c r="O57" s="55"/>
    </row>
    <row r="58" spans="1:15">
      <c r="A58" s="54" t="s">
        <v>604</v>
      </c>
      <c r="B58" s="42" t="s">
        <v>150</v>
      </c>
      <c r="C58" s="42" t="s">
        <v>15</v>
      </c>
      <c r="D58" s="42" t="s">
        <v>15</v>
      </c>
      <c r="E58" s="42" t="s">
        <v>172</v>
      </c>
      <c r="F58" s="42" t="s">
        <v>221</v>
      </c>
      <c r="G58" s="42" t="s">
        <v>465</v>
      </c>
      <c r="H58" s="42" t="s">
        <v>749</v>
      </c>
      <c r="I58" s="42" t="s">
        <v>141</v>
      </c>
      <c r="J58" s="42" t="s">
        <v>123</v>
      </c>
      <c r="K58" s="42"/>
      <c r="L58" s="42"/>
      <c r="M58" s="42" t="s">
        <v>17</v>
      </c>
      <c r="N58" s="42" t="s">
        <v>18</v>
      </c>
      <c r="O58" s="55"/>
    </row>
    <row r="59" spans="1:15">
      <c r="A59" s="54" t="s">
        <v>605</v>
      </c>
      <c r="B59" s="42" t="s">
        <v>150</v>
      </c>
      <c r="C59" s="42" t="s">
        <v>15</v>
      </c>
      <c r="D59" s="42" t="s">
        <v>15</v>
      </c>
      <c r="E59" s="42" t="s">
        <v>175</v>
      </c>
      <c r="F59" s="42" t="s">
        <v>223</v>
      </c>
      <c r="G59" s="42" t="s">
        <v>466</v>
      </c>
      <c r="H59" s="42" t="s">
        <v>759</v>
      </c>
      <c r="I59" s="42" t="s">
        <v>768</v>
      </c>
      <c r="J59" s="42" t="s">
        <v>123</v>
      </c>
      <c r="K59" s="42"/>
      <c r="L59" s="42"/>
      <c r="M59" s="42" t="s">
        <v>17</v>
      </c>
      <c r="N59" s="42" t="s">
        <v>18</v>
      </c>
      <c r="O59" s="55"/>
    </row>
    <row r="60" spans="1:15">
      <c r="A60" s="54" t="s">
        <v>606</v>
      </c>
      <c r="B60" s="42" t="s">
        <v>150</v>
      </c>
      <c r="C60" s="42" t="s">
        <v>15</v>
      </c>
      <c r="D60" s="42" t="s">
        <v>15</v>
      </c>
      <c r="E60" s="42" t="s">
        <v>172</v>
      </c>
      <c r="F60" s="42" t="s">
        <v>224</v>
      </c>
      <c r="G60" s="42" t="s">
        <v>467</v>
      </c>
      <c r="H60" s="42" t="s">
        <v>760</v>
      </c>
      <c r="I60" s="42" t="s">
        <v>141</v>
      </c>
      <c r="J60" s="42" t="s">
        <v>123</v>
      </c>
      <c r="K60" s="42"/>
      <c r="L60" s="42"/>
      <c r="M60" s="42" t="s">
        <v>17</v>
      </c>
      <c r="N60" s="42" t="s">
        <v>18</v>
      </c>
      <c r="O60" s="55"/>
    </row>
    <row r="61" spans="1:15">
      <c r="A61" s="54" t="s">
        <v>607</v>
      </c>
      <c r="B61" s="42" t="s">
        <v>150</v>
      </c>
      <c r="C61" s="42" t="s">
        <v>15</v>
      </c>
      <c r="D61" s="42" t="s">
        <v>15</v>
      </c>
      <c r="E61" s="42" t="s">
        <v>172</v>
      </c>
      <c r="F61" s="42" t="s">
        <v>225</v>
      </c>
      <c r="G61" s="42" t="s">
        <v>468</v>
      </c>
      <c r="H61" s="42" t="s">
        <v>761</v>
      </c>
      <c r="I61" s="42" t="s">
        <v>141</v>
      </c>
      <c r="J61" s="42" t="s">
        <v>123</v>
      </c>
      <c r="K61" s="42"/>
      <c r="L61" s="42"/>
      <c r="M61" s="42" t="s">
        <v>17</v>
      </c>
      <c r="N61" s="42" t="s">
        <v>18</v>
      </c>
      <c r="O61" s="55"/>
    </row>
    <row r="62" spans="1:15">
      <c r="A62" s="54" t="s">
        <v>608</v>
      </c>
      <c r="B62" s="42" t="s">
        <v>150</v>
      </c>
      <c r="C62" s="42" t="s">
        <v>15</v>
      </c>
      <c r="D62" s="42" t="s">
        <v>15</v>
      </c>
      <c r="E62" s="42" t="s">
        <v>301</v>
      </c>
      <c r="F62" s="42" t="s">
        <v>227</v>
      </c>
      <c r="G62" s="42" t="s">
        <v>469</v>
      </c>
      <c r="H62" s="42" t="s">
        <v>762</v>
      </c>
      <c r="I62" s="42" t="s">
        <v>141</v>
      </c>
      <c r="J62" s="42" t="s">
        <v>123</v>
      </c>
      <c r="K62" s="42"/>
      <c r="L62" s="42"/>
      <c r="M62" s="42" t="s">
        <v>17</v>
      </c>
      <c r="N62" s="42" t="s">
        <v>18</v>
      </c>
      <c r="O62" s="55"/>
    </row>
    <row r="63" spans="1:15">
      <c r="A63" s="54" t="s">
        <v>609</v>
      </c>
      <c r="B63" s="42" t="s">
        <v>150</v>
      </c>
      <c r="C63" s="42" t="s">
        <v>15</v>
      </c>
      <c r="D63" s="42" t="s">
        <v>15</v>
      </c>
      <c r="E63" s="42" t="s">
        <v>634</v>
      </c>
      <c r="F63" s="42" t="s">
        <v>228</v>
      </c>
      <c r="G63" s="42" t="s">
        <v>470</v>
      </c>
      <c r="H63" s="42" t="s">
        <v>763</v>
      </c>
      <c r="I63" s="42" t="s">
        <v>769</v>
      </c>
      <c r="J63" s="42" t="s">
        <v>123</v>
      </c>
      <c r="K63" s="42" t="s">
        <v>635</v>
      </c>
      <c r="L63" s="42" t="s">
        <v>649</v>
      </c>
      <c r="M63" s="42" t="s">
        <v>17</v>
      </c>
      <c r="N63" s="42" t="s">
        <v>18</v>
      </c>
      <c r="O63" s="55"/>
    </row>
    <row r="64" spans="1:15">
      <c r="A64" s="54" t="s">
        <v>610</v>
      </c>
      <c r="B64" s="42" t="s">
        <v>150</v>
      </c>
      <c r="C64" s="42" t="s">
        <v>152</v>
      </c>
      <c r="D64" s="42" t="s">
        <v>152</v>
      </c>
      <c r="E64" s="42" t="s">
        <v>167</v>
      </c>
      <c r="F64" s="42" t="s">
        <v>214</v>
      </c>
      <c r="G64" s="42" t="s">
        <v>471</v>
      </c>
      <c r="H64" s="42" t="s">
        <v>764</v>
      </c>
      <c r="I64" s="42" t="s">
        <v>141</v>
      </c>
      <c r="J64" s="42" t="s">
        <v>123</v>
      </c>
      <c r="K64" s="42"/>
      <c r="L64" s="42"/>
      <c r="M64" s="42" t="s">
        <v>17</v>
      </c>
      <c r="N64" s="42" t="s">
        <v>18</v>
      </c>
      <c r="O64" s="55"/>
    </row>
    <row r="65" spans="1:15">
      <c r="A65" s="54" t="s">
        <v>611</v>
      </c>
      <c r="B65" s="42" t="s">
        <v>150</v>
      </c>
      <c r="C65" s="42" t="s">
        <v>15</v>
      </c>
      <c r="D65" s="42" t="s">
        <v>15</v>
      </c>
      <c r="E65" s="42" t="s">
        <v>156</v>
      </c>
      <c r="F65" s="42" t="s">
        <v>426</v>
      </c>
      <c r="G65" s="42" t="s">
        <v>473</v>
      </c>
      <c r="H65" s="42" t="s">
        <v>158</v>
      </c>
      <c r="I65" s="42" t="s">
        <v>769</v>
      </c>
      <c r="J65" s="42" t="s">
        <v>123</v>
      </c>
      <c r="K65" s="42"/>
      <c r="L65" s="42"/>
      <c r="M65" s="42" t="s">
        <v>17</v>
      </c>
      <c r="N65" s="42" t="s">
        <v>18</v>
      </c>
      <c r="O65" s="55"/>
    </row>
    <row r="66" spans="1:15">
      <c r="A66" s="54" t="s">
        <v>612</v>
      </c>
      <c r="B66" s="42" t="s">
        <v>150</v>
      </c>
      <c r="C66" s="42" t="s">
        <v>15</v>
      </c>
      <c r="D66" s="42" t="s">
        <v>15</v>
      </c>
      <c r="E66" s="42" t="s">
        <v>167</v>
      </c>
      <c r="F66" s="42" t="s">
        <v>557</v>
      </c>
      <c r="G66" s="42" t="s">
        <v>474</v>
      </c>
      <c r="H66" s="42" t="s">
        <v>765</v>
      </c>
      <c r="I66" s="42" t="s">
        <v>773</v>
      </c>
      <c r="J66" s="42" t="s">
        <v>123</v>
      </c>
      <c r="K66" s="42"/>
      <c r="L66" s="42"/>
      <c r="M66" s="42" t="s">
        <v>17</v>
      </c>
      <c r="N66" s="42" t="s">
        <v>18</v>
      </c>
      <c r="O66" s="55"/>
    </row>
    <row r="67" spans="1:15">
      <c r="A67" s="54" t="s">
        <v>613</v>
      </c>
      <c r="B67" s="42" t="s">
        <v>150</v>
      </c>
      <c r="C67" s="42" t="s">
        <v>15</v>
      </c>
      <c r="D67" s="42" t="s">
        <v>15</v>
      </c>
      <c r="E67" s="42" t="s">
        <v>192</v>
      </c>
      <c r="F67" s="42" t="s">
        <v>260</v>
      </c>
      <c r="G67" s="42" t="s">
        <v>432</v>
      </c>
      <c r="H67" s="42" t="s">
        <v>191</v>
      </c>
      <c r="I67" s="42"/>
      <c r="J67" s="42" t="s">
        <v>123</v>
      </c>
      <c r="K67" s="42"/>
      <c r="L67" s="42"/>
      <c r="M67" s="42" t="s">
        <v>17</v>
      </c>
      <c r="N67" s="42" t="s">
        <v>18</v>
      </c>
      <c r="O67" s="55"/>
    </row>
    <row r="68" spans="1:15">
      <c r="A68" s="54" t="s">
        <v>614</v>
      </c>
      <c r="B68" s="42" t="s">
        <v>150</v>
      </c>
      <c r="C68" s="42" t="s">
        <v>15</v>
      </c>
      <c r="D68" s="42" t="s">
        <v>15</v>
      </c>
      <c r="E68" s="42" t="s">
        <v>193</v>
      </c>
      <c r="F68" s="42" t="s">
        <v>261</v>
      </c>
      <c r="G68" s="42" t="s">
        <v>432</v>
      </c>
      <c r="H68" s="42" t="s">
        <v>194</v>
      </c>
      <c r="I68" s="42"/>
      <c r="J68" s="42" t="s">
        <v>123</v>
      </c>
      <c r="K68" s="42"/>
      <c r="L68" s="42"/>
      <c r="M68" s="42" t="s">
        <v>17</v>
      </c>
      <c r="N68" s="42" t="s">
        <v>18</v>
      </c>
      <c r="O68" s="55"/>
    </row>
    <row r="69" spans="1:15">
      <c r="A69" s="54" t="s">
        <v>615</v>
      </c>
      <c r="B69" s="42" t="s">
        <v>150</v>
      </c>
      <c r="C69" s="42" t="s">
        <v>15</v>
      </c>
      <c r="D69" s="42" t="s">
        <v>15</v>
      </c>
      <c r="E69" s="42" t="s">
        <v>190</v>
      </c>
      <c r="F69" s="42" t="s">
        <v>262</v>
      </c>
      <c r="G69" s="42" t="s">
        <v>475</v>
      </c>
      <c r="H69" s="42" t="s">
        <v>195</v>
      </c>
      <c r="I69" s="42" t="s">
        <v>141</v>
      </c>
      <c r="J69" s="42" t="s">
        <v>123</v>
      </c>
      <c r="K69" s="42"/>
      <c r="L69" s="42"/>
      <c r="M69" s="42" t="s">
        <v>17</v>
      </c>
      <c r="N69" s="42" t="s">
        <v>18</v>
      </c>
      <c r="O69" s="55"/>
    </row>
    <row r="70" spans="1:15">
      <c r="A70" s="54" t="s">
        <v>616</v>
      </c>
      <c r="B70" s="42" t="s">
        <v>150</v>
      </c>
      <c r="C70" s="42" t="s">
        <v>15</v>
      </c>
      <c r="D70" s="42" t="s">
        <v>15</v>
      </c>
      <c r="E70" s="42" t="s">
        <v>196</v>
      </c>
      <c r="F70" s="42" t="s">
        <v>263</v>
      </c>
      <c r="G70" s="42" t="s">
        <v>476</v>
      </c>
      <c r="H70" s="42" t="s">
        <v>197</v>
      </c>
      <c r="I70" s="42" t="s">
        <v>141</v>
      </c>
      <c r="J70" s="42" t="s">
        <v>123</v>
      </c>
      <c r="K70" s="42"/>
      <c r="L70" s="42"/>
      <c r="M70" s="42" t="s">
        <v>17</v>
      </c>
      <c r="N70" s="42" t="s">
        <v>18</v>
      </c>
      <c r="O70" s="55"/>
    </row>
    <row r="71" spans="1:15">
      <c r="A71" s="54" t="s">
        <v>617</v>
      </c>
      <c r="B71" s="42" t="s">
        <v>150</v>
      </c>
      <c r="C71" s="42" t="s">
        <v>15</v>
      </c>
      <c r="D71" s="42" t="s">
        <v>15</v>
      </c>
      <c r="E71" s="42" t="s">
        <v>199</v>
      </c>
      <c r="F71" s="42" t="s">
        <v>264</v>
      </c>
      <c r="G71" s="42" t="s">
        <v>432</v>
      </c>
      <c r="H71" s="42" t="s">
        <v>198</v>
      </c>
      <c r="I71" s="42"/>
      <c r="J71" s="42" t="s">
        <v>123</v>
      </c>
      <c r="K71" s="42"/>
      <c r="L71" s="42"/>
      <c r="M71" s="42" t="s">
        <v>17</v>
      </c>
      <c r="N71" s="42" t="s">
        <v>18</v>
      </c>
      <c r="O71" s="55"/>
    </row>
    <row r="72" spans="1:15">
      <c r="A72" s="54" t="s">
        <v>618</v>
      </c>
      <c r="B72" s="42" t="s">
        <v>150</v>
      </c>
      <c r="C72" s="42" t="s">
        <v>20</v>
      </c>
      <c r="D72" s="42" t="s">
        <v>20</v>
      </c>
      <c r="E72" s="42" t="s">
        <v>409</v>
      </c>
      <c r="F72" s="42" t="s">
        <v>403</v>
      </c>
      <c r="G72" s="42" t="s">
        <v>432</v>
      </c>
      <c r="H72" s="42" t="s">
        <v>198</v>
      </c>
      <c r="I72" s="42"/>
      <c r="J72" s="42" t="s">
        <v>123</v>
      </c>
      <c r="K72" s="42"/>
      <c r="L72" s="42"/>
      <c r="M72" s="42" t="s">
        <v>17</v>
      </c>
      <c r="N72" s="42" t="s">
        <v>18</v>
      </c>
      <c r="O72" s="55"/>
    </row>
    <row r="73" spans="1:15">
      <c r="A73" s="54" t="s">
        <v>619</v>
      </c>
      <c r="B73" s="42" t="s">
        <v>150</v>
      </c>
      <c r="C73" s="42" t="s">
        <v>15</v>
      </c>
      <c r="D73" s="42" t="s">
        <v>15</v>
      </c>
      <c r="E73" s="42" t="s">
        <v>245</v>
      </c>
      <c r="F73" s="42" t="s">
        <v>429</v>
      </c>
      <c r="G73" s="42" t="s">
        <v>432</v>
      </c>
      <c r="H73" s="42" t="s">
        <v>16</v>
      </c>
      <c r="I73" s="42"/>
      <c r="J73" s="42" t="s">
        <v>123</v>
      </c>
      <c r="K73" s="42"/>
      <c r="L73" s="42"/>
      <c r="M73" s="42" t="s">
        <v>17</v>
      </c>
      <c r="N73" s="42" t="s">
        <v>18</v>
      </c>
      <c r="O73" s="55"/>
    </row>
    <row r="74" spans="1:15">
      <c r="A74" s="54" t="s">
        <v>620</v>
      </c>
      <c r="B74" s="42" t="s">
        <v>150</v>
      </c>
      <c r="C74" s="42" t="s">
        <v>15</v>
      </c>
      <c r="D74" s="42" t="s">
        <v>15</v>
      </c>
      <c r="E74" s="42" t="s">
        <v>245</v>
      </c>
      <c r="F74" s="42" t="s">
        <v>157</v>
      </c>
      <c r="G74" s="42" t="s">
        <v>432</v>
      </c>
      <c r="H74" s="42" t="s">
        <v>16</v>
      </c>
      <c r="I74" s="42"/>
      <c r="J74" s="42" t="s">
        <v>123</v>
      </c>
      <c r="K74" s="42"/>
      <c r="L74" s="42"/>
      <c r="M74" s="42" t="s">
        <v>17</v>
      </c>
      <c r="N74" s="42" t="s">
        <v>18</v>
      </c>
      <c r="O74" s="55"/>
    </row>
    <row r="75" spans="1:15">
      <c r="A75" s="54" t="s">
        <v>621</v>
      </c>
      <c r="B75" s="42" t="s">
        <v>150</v>
      </c>
      <c r="C75" s="42" t="s">
        <v>15</v>
      </c>
      <c r="D75" s="42" t="s">
        <v>15</v>
      </c>
      <c r="E75" s="42" t="s">
        <v>245</v>
      </c>
      <c r="F75" s="42" t="s">
        <v>170</v>
      </c>
      <c r="G75" s="42" t="s">
        <v>432</v>
      </c>
      <c r="H75" s="42" t="s">
        <v>16</v>
      </c>
      <c r="I75" s="42"/>
      <c r="J75" s="42" t="s">
        <v>123</v>
      </c>
      <c r="K75" s="42"/>
      <c r="L75" s="42"/>
      <c r="M75" s="42" t="s">
        <v>17</v>
      </c>
      <c r="N75" s="42" t="s">
        <v>18</v>
      </c>
      <c r="O75" s="55"/>
    </row>
    <row r="76" spans="1:15">
      <c r="A76" s="54" t="s">
        <v>895</v>
      </c>
      <c r="B76" s="42" t="s">
        <v>822</v>
      </c>
      <c r="C76" s="42" t="s">
        <v>15</v>
      </c>
      <c r="D76" s="42" t="s">
        <v>15</v>
      </c>
      <c r="E76" s="42" t="s">
        <v>247</v>
      </c>
      <c r="F76" s="42" t="s">
        <v>181</v>
      </c>
      <c r="G76" s="42" t="s">
        <v>432</v>
      </c>
      <c r="H76" s="42" t="s">
        <v>16</v>
      </c>
      <c r="I76" s="42"/>
      <c r="J76" s="42" t="s">
        <v>123</v>
      </c>
      <c r="K76" s="42"/>
      <c r="L76" s="42"/>
      <c r="M76" s="42" t="s">
        <v>17</v>
      </c>
      <c r="N76" s="42" t="s">
        <v>18</v>
      </c>
      <c r="O76" s="55"/>
    </row>
    <row r="77" spans="1:15">
      <c r="A77" s="54" t="s">
        <v>896</v>
      </c>
      <c r="B77" s="42" t="s">
        <v>822</v>
      </c>
      <c r="C77" s="42" t="s">
        <v>15</v>
      </c>
      <c r="D77" s="42" t="s">
        <v>15</v>
      </c>
      <c r="E77" s="42" t="s">
        <v>244</v>
      </c>
      <c r="F77" s="42" t="s">
        <v>183</v>
      </c>
      <c r="G77" s="42" t="s">
        <v>432</v>
      </c>
      <c r="H77" s="42" t="s">
        <v>16</v>
      </c>
      <c r="I77" s="42"/>
      <c r="J77" s="42" t="s">
        <v>123</v>
      </c>
      <c r="K77" s="42"/>
      <c r="L77" s="42"/>
      <c r="M77" s="42" t="s">
        <v>17</v>
      </c>
      <c r="N77" s="42" t="s">
        <v>18</v>
      </c>
      <c r="O77" s="55"/>
    </row>
    <row r="78" spans="1:15">
      <c r="A78" s="54" t="s">
        <v>897</v>
      </c>
      <c r="B78" s="42" t="s">
        <v>822</v>
      </c>
      <c r="C78" s="42" t="s">
        <v>15</v>
      </c>
      <c r="D78" s="42" t="s">
        <v>15</v>
      </c>
      <c r="E78" s="42" t="s">
        <v>190</v>
      </c>
      <c r="F78" s="42" t="s">
        <v>184</v>
      </c>
      <c r="G78" s="42" t="s">
        <v>432</v>
      </c>
      <c r="H78" s="42" t="s">
        <v>208</v>
      </c>
      <c r="I78" s="42"/>
      <c r="J78" s="42" t="s">
        <v>123</v>
      </c>
      <c r="K78" s="42"/>
      <c r="L78" s="42"/>
      <c r="M78" s="42" t="s">
        <v>17</v>
      </c>
      <c r="N78" s="42" t="s">
        <v>18</v>
      </c>
      <c r="O78" s="55"/>
    </row>
    <row r="79" spans="1:15">
      <c r="A79" s="54" t="s">
        <v>625</v>
      </c>
      <c r="B79" s="42" t="s">
        <v>150</v>
      </c>
      <c r="C79" s="42" t="s">
        <v>15</v>
      </c>
      <c r="D79" s="42" t="s">
        <v>15</v>
      </c>
      <c r="E79" s="42" t="s">
        <v>216</v>
      </c>
      <c r="F79" s="42" t="s">
        <v>265</v>
      </c>
      <c r="G79" s="42" t="s">
        <v>478</v>
      </c>
      <c r="H79" s="42" t="s">
        <v>230</v>
      </c>
      <c r="I79" s="42" t="s">
        <v>770</v>
      </c>
      <c r="J79" s="42" t="s">
        <v>123</v>
      </c>
      <c r="K79" s="42"/>
      <c r="L79" s="42"/>
      <c r="M79" s="42" t="s">
        <v>17</v>
      </c>
      <c r="N79" s="42" t="s">
        <v>18</v>
      </c>
      <c r="O79" s="55"/>
    </row>
    <row r="80" spans="1:15">
      <c r="A80" s="54" t="s">
        <v>626</v>
      </c>
      <c r="B80" s="42" t="s">
        <v>150</v>
      </c>
      <c r="C80" s="42" t="s">
        <v>15</v>
      </c>
      <c r="D80" s="42" t="s">
        <v>15</v>
      </c>
      <c r="E80" s="42" t="s">
        <v>653</v>
      </c>
      <c r="F80" s="42" t="s">
        <v>397</v>
      </c>
      <c r="G80" s="42" t="s">
        <v>432</v>
      </c>
      <c r="H80" s="42" t="s">
        <v>198</v>
      </c>
      <c r="I80" s="42"/>
      <c r="J80" s="42" t="s">
        <v>123</v>
      </c>
      <c r="K80" s="42" t="s">
        <v>635</v>
      </c>
      <c r="L80" s="42" t="s">
        <v>654</v>
      </c>
      <c r="M80" s="42" t="s">
        <v>17</v>
      </c>
      <c r="N80" s="42" t="s">
        <v>18</v>
      </c>
      <c r="O80" s="55"/>
    </row>
    <row r="81" spans="1:15">
      <c r="A81" s="54" t="s">
        <v>627</v>
      </c>
      <c r="B81" s="42" t="s">
        <v>150</v>
      </c>
      <c r="C81" s="42" t="s">
        <v>15</v>
      </c>
      <c r="D81" s="42" t="s">
        <v>15</v>
      </c>
      <c r="E81" s="42" t="s">
        <v>167</v>
      </c>
      <c r="F81" s="42" t="s">
        <v>266</v>
      </c>
      <c r="G81" s="42" t="s">
        <v>479</v>
      </c>
      <c r="H81" s="42" t="s">
        <v>281</v>
      </c>
      <c r="I81" s="42" t="s">
        <v>772</v>
      </c>
      <c r="J81" s="42" t="s">
        <v>123</v>
      </c>
      <c r="K81" s="42" t="s">
        <v>655</v>
      </c>
      <c r="L81" s="42" t="s">
        <v>246</v>
      </c>
      <c r="M81" s="42" t="s">
        <v>17</v>
      </c>
      <c r="N81" s="42" t="s">
        <v>18</v>
      </c>
      <c r="O81" s="55"/>
    </row>
    <row r="82" spans="1:15">
      <c r="A82" s="54" t="s">
        <v>628</v>
      </c>
      <c r="B82" s="42" t="s">
        <v>150</v>
      </c>
      <c r="C82" s="42" t="s">
        <v>15</v>
      </c>
      <c r="D82" s="42" t="s">
        <v>15</v>
      </c>
      <c r="E82" s="42" t="s">
        <v>656</v>
      </c>
      <c r="F82" s="42" t="s">
        <v>267</v>
      </c>
      <c r="G82" s="42" t="s">
        <v>480</v>
      </c>
      <c r="H82" s="42" t="s">
        <v>283</v>
      </c>
      <c r="I82" s="42" t="s">
        <v>772</v>
      </c>
      <c r="J82" s="42" t="s">
        <v>123</v>
      </c>
      <c r="K82" s="42" t="s">
        <v>657</v>
      </c>
      <c r="L82" s="42" t="s">
        <v>658</v>
      </c>
      <c r="M82" s="42" t="s">
        <v>17</v>
      </c>
      <c r="N82" s="42" t="s">
        <v>18</v>
      </c>
      <c r="O82" s="55"/>
    </row>
    <row r="83" spans="1:15">
      <c r="A83" s="54" t="s">
        <v>629</v>
      </c>
      <c r="B83" s="42" t="s">
        <v>150</v>
      </c>
      <c r="C83" s="42" t="s">
        <v>15</v>
      </c>
      <c r="D83" s="42" t="s">
        <v>15</v>
      </c>
      <c r="E83" s="42" t="s">
        <v>277</v>
      </c>
      <c r="F83" s="42" t="s">
        <v>268</v>
      </c>
      <c r="G83" s="42" t="s">
        <v>481</v>
      </c>
      <c r="H83" s="42" t="s">
        <v>766</v>
      </c>
      <c r="I83" s="42" t="s">
        <v>279</v>
      </c>
      <c r="J83" s="42" t="s">
        <v>123</v>
      </c>
      <c r="K83" s="42" t="s">
        <v>659</v>
      </c>
      <c r="L83" s="42" t="s">
        <v>278</v>
      </c>
      <c r="M83" s="42" t="s">
        <v>17</v>
      </c>
      <c r="N83" s="42" t="s">
        <v>18</v>
      </c>
      <c r="O83" s="55"/>
    </row>
    <row r="84" spans="1:15">
      <c r="A84" s="54" t="s">
        <v>630</v>
      </c>
      <c r="B84" s="42" t="s">
        <v>150</v>
      </c>
      <c r="C84" s="42" t="s">
        <v>15</v>
      </c>
      <c r="D84" s="42" t="s">
        <v>15</v>
      </c>
      <c r="E84" s="42" t="s">
        <v>653</v>
      </c>
      <c r="F84" s="42" t="s">
        <v>269</v>
      </c>
      <c r="G84" s="42" t="s">
        <v>819</v>
      </c>
      <c r="H84" s="42" t="s">
        <v>817</v>
      </c>
      <c r="I84" s="42" t="s">
        <v>140</v>
      </c>
      <c r="J84" s="42" t="s">
        <v>123</v>
      </c>
      <c r="K84" s="42" t="s">
        <v>635</v>
      </c>
      <c r="L84" s="42" t="s">
        <v>820</v>
      </c>
      <c r="M84" s="42" t="s">
        <v>17</v>
      </c>
      <c r="N84" s="42" t="s">
        <v>18</v>
      </c>
      <c r="O84" s="55"/>
    </row>
    <row r="85" spans="1:15">
      <c r="A85" s="54" t="s">
        <v>821</v>
      </c>
      <c r="B85" s="42" t="s">
        <v>150</v>
      </c>
      <c r="C85" s="42" t="s">
        <v>15</v>
      </c>
      <c r="D85" s="42" t="s">
        <v>15</v>
      </c>
      <c r="E85" s="42" t="s">
        <v>301</v>
      </c>
      <c r="F85" s="42" t="s">
        <v>398</v>
      </c>
      <c r="G85" s="42" t="s">
        <v>440</v>
      </c>
      <c r="H85" s="42" t="s">
        <v>739</v>
      </c>
      <c r="I85" s="42" t="s">
        <v>135</v>
      </c>
      <c r="J85" s="42" t="s">
        <v>123</v>
      </c>
      <c r="K85" s="42"/>
      <c r="L85" s="42"/>
      <c r="M85" s="42" t="s">
        <v>17</v>
      </c>
      <c r="N85" s="42" t="s">
        <v>18</v>
      </c>
      <c r="O85" s="55"/>
    </row>
    <row r="86" spans="1:15">
      <c r="A86" s="54" t="s">
        <v>662</v>
      </c>
      <c r="B86" s="42" t="s">
        <v>34</v>
      </c>
      <c r="C86" s="42" t="s">
        <v>134</v>
      </c>
      <c r="D86" s="42" t="s">
        <v>134</v>
      </c>
      <c r="E86" s="42">
        <v>2925</v>
      </c>
      <c r="F86" s="42" t="s">
        <v>410</v>
      </c>
      <c r="G86" s="42"/>
      <c r="H86" s="42" t="s">
        <v>125</v>
      </c>
      <c r="I86" s="42" t="s">
        <v>125</v>
      </c>
      <c r="J86" s="42" t="s">
        <v>123</v>
      </c>
      <c r="K86" s="42"/>
      <c r="L86" s="42"/>
      <c r="M86" s="42" t="s">
        <v>17</v>
      </c>
      <c r="N86" s="42" t="s">
        <v>18</v>
      </c>
      <c r="O86" s="55"/>
    </row>
    <row r="87" spans="1:15">
      <c r="A87" s="54" t="s">
        <v>663</v>
      </c>
      <c r="B87" s="42" t="s">
        <v>34</v>
      </c>
      <c r="C87" s="42" t="s">
        <v>20</v>
      </c>
      <c r="D87" s="42" t="s">
        <v>20</v>
      </c>
      <c r="E87" s="42" t="s">
        <v>222</v>
      </c>
      <c r="F87" s="42" t="s">
        <v>270</v>
      </c>
      <c r="G87" s="42"/>
      <c r="H87" s="42" t="s">
        <v>125</v>
      </c>
      <c r="I87" s="42" t="s">
        <v>125</v>
      </c>
      <c r="J87" s="42" t="s">
        <v>123</v>
      </c>
      <c r="K87" s="42"/>
      <c r="L87" s="42"/>
      <c r="M87" s="42" t="s">
        <v>17</v>
      </c>
      <c r="N87" s="42" t="s">
        <v>18</v>
      </c>
      <c r="O87" s="55"/>
    </row>
    <row r="88" spans="1:15">
      <c r="A88" s="54" t="s">
        <v>664</v>
      </c>
      <c r="B88" s="42" t="s">
        <v>34</v>
      </c>
      <c r="C88" s="42" t="s">
        <v>20</v>
      </c>
      <c r="D88" s="42" t="s">
        <v>20</v>
      </c>
      <c r="E88" s="42">
        <v>1213</v>
      </c>
      <c r="F88" s="42" t="s">
        <v>271</v>
      </c>
      <c r="G88" s="42"/>
      <c r="H88" s="42" t="s">
        <v>125</v>
      </c>
      <c r="I88" s="42" t="s">
        <v>125</v>
      </c>
      <c r="J88" s="42" t="s">
        <v>123</v>
      </c>
      <c r="K88" s="42"/>
      <c r="L88" s="42"/>
      <c r="M88" s="42" t="s">
        <v>17</v>
      </c>
      <c r="N88" s="42" t="s">
        <v>18</v>
      </c>
      <c r="O88" s="55"/>
    </row>
    <row r="89" spans="1:15">
      <c r="A89" s="54" t="s">
        <v>665</v>
      </c>
      <c r="B89" s="42" t="s">
        <v>34</v>
      </c>
      <c r="C89" s="42" t="s">
        <v>20</v>
      </c>
      <c r="D89" s="42" t="s">
        <v>20</v>
      </c>
      <c r="E89" s="42">
        <v>1020</v>
      </c>
      <c r="F89" s="42" t="s">
        <v>272</v>
      </c>
      <c r="G89" s="42"/>
      <c r="H89" s="42" t="s">
        <v>125</v>
      </c>
      <c r="I89" s="42" t="s">
        <v>125</v>
      </c>
      <c r="J89" s="42" t="s">
        <v>123</v>
      </c>
      <c r="K89" s="42"/>
      <c r="L89" s="42"/>
      <c r="M89" s="42" t="s">
        <v>17</v>
      </c>
      <c r="N89" s="42" t="s">
        <v>18</v>
      </c>
      <c r="O89" s="55"/>
    </row>
    <row r="90" spans="1:15">
      <c r="A90" s="54" t="s">
        <v>666</v>
      </c>
      <c r="B90" s="42" t="s">
        <v>34</v>
      </c>
      <c r="C90" s="42" t="s">
        <v>20</v>
      </c>
      <c r="D90" s="42" t="s">
        <v>20</v>
      </c>
      <c r="E90" s="42" t="s">
        <v>226</v>
      </c>
      <c r="F90" s="42" t="s">
        <v>274</v>
      </c>
      <c r="G90" s="42"/>
      <c r="H90" s="42" t="s">
        <v>125</v>
      </c>
      <c r="I90" s="42" t="s">
        <v>125</v>
      </c>
      <c r="J90" s="42" t="s">
        <v>123</v>
      </c>
      <c r="K90" s="42"/>
      <c r="L90" s="42"/>
      <c r="M90" s="42" t="s">
        <v>17</v>
      </c>
      <c r="N90" s="42" t="s">
        <v>18</v>
      </c>
      <c r="O90" s="55"/>
    </row>
    <row r="91" spans="1:15">
      <c r="A91" s="54" t="s">
        <v>667</v>
      </c>
      <c r="B91" s="42" t="s">
        <v>34</v>
      </c>
      <c r="C91" s="42" t="s">
        <v>20</v>
      </c>
      <c r="D91" s="42" t="s">
        <v>20</v>
      </c>
      <c r="E91" s="42" t="s">
        <v>226</v>
      </c>
      <c r="F91" s="42" t="s">
        <v>239</v>
      </c>
      <c r="G91" s="42"/>
      <c r="H91" s="42" t="s">
        <v>125</v>
      </c>
      <c r="I91" s="42" t="s">
        <v>125</v>
      </c>
      <c r="J91" s="42" t="s">
        <v>123</v>
      </c>
      <c r="K91" s="42"/>
      <c r="L91" s="42"/>
      <c r="M91" s="42" t="s">
        <v>17</v>
      </c>
      <c r="N91" s="42" t="s">
        <v>18</v>
      </c>
      <c r="O91" s="55"/>
    </row>
    <row r="92" spans="1:15">
      <c r="A92" s="54" t="s">
        <v>668</v>
      </c>
      <c r="B92" s="42" t="s">
        <v>34</v>
      </c>
      <c r="C92" s="42" t="s">
        <v>20</v>
      </c>
      <c r="D92" s="42" t="s">
        <v>20</v>
      </c>
      <c r="E92" s="42" t="s">
        <v>213</v>
      </c>
      <c r="F92" s="42" t="s">
        <v>240</v>
      </c>
      <c r="G92" s="42"/>
      <c r="H92" s="42" t="s">
        <v>125</v>
      </c>
      <c r="I92" s="42" t="s">
        <v>125</v>
      </c>
      <c r="J92" s="42" t="s">
        <v>123</v>
      </c>
      <c r="K92" s="42"/>
      <c r="L92" s="42"/>
      <c r="M92" s="42" t="s">
        <v>17</v>
      </c>
      <c r="N92" s="42" t="s">
        <v>18</v>
      </c>
      <c r="O92" s="55"/>
    </row>
    <row r="93" spans="1:15">
      <c r="A93" s="54" t="s">
        <v>669</v>
      </c>
      <c r="B93" s="42" t="s">
        <v>34</v>
      </c>
      <c r="C93" s="42" t="s">
        <v>134</v>
      </c>
      <c r="D93" s="42" t="s">
        <v>134</v>
      </c>
      <c r="E93" s="42">
        <v>2002</v>
      </c>
      <c r="F93" s="42" t="s">
        <v>241</v>
      </c>
      <c r="G93" s="42"/>
      <c r="H93" s="42" t="s">
        <v>135</v>
      </c>
      <c r="I93" s="42" t="s">
        <v>135</v>
      </c>
      <c r="J93" s="42" t="s">
        <v>123</v>
      </c>
      <c r="K93" s="42"/>
      <c r="L93" s="42"/>
      <c r="M93" s="42" t="s">
        <v>17</v>
      </c>
      <c r="N93" s="42" t="s">
        <v>18</v>
      </c>
      <c r="O93" s="55"/>
    </row>
    <row r="94" spans="1:15">
      <c r="A94" s="54" t="s">
        <v>670</v>
      </c>
      <c r="B94" s="42" t="s">
        <v>34</v>
      </c>
      <c r="C94" s="42" t="s">
        <v>20</v>
      </c>
      <c r="D94" s="42" t="s">
        <v>20</v>
      </c>
      <c r="E94" s="42" t="s">
        <v>226</v>
      </c>
      <c r="F94" s="42" t="s">
        <v>242</v>
      </c>
      <c r="G94" s="42"/>
      <c r="H94" s="42" t="s">
        <v>137</v>
      </c>
      <c r="I94" s="42" t="s">
        <v>137</v>
      </c>
      <c r="J94" s="42" t="s">
        <v>123</v>
      </c>
      <c r="K94" s="42"/>
      <c r="L94" s="42"/>
      <c r="M94" s="42" t="s">
        <v>17</v>
      </c>
      <c r="N94" s="42" t="s">
        <v>18</v>
      </c>
      <c r="O94" s="55"/>
    </row>
    <row r="95" spans="1:15">
      <c r="A95" s="54" t="s">
        <v>671</v>
      </c>
      <c r="B95" s="42" t="s">
        <v>34</v>
      </c>
      <c r="C95" s="42" t="s">
        <v>20</v>
      </c>
      <c r="D95" s="42" t="s">
        <v>20</v>
      </c>
      <c r="E95" s="42"/>
      <c r="F95" s="42" t="s">
        <v>243</v>
      </c>
      <c r="G95" s="42"/>
      <c r="H95" s="42" t="s">
        <v>136</v>
      </c>
      <c r="I95" s="42" t="s">
        <v>136</v>
      </c>
      <c r="J95" s="42" t="s">
        <v>123</v>
      </c>
      <c r="K95" s="42"/>
      <c r="L95" s="42"/>
      <c r="M95" s="42" t="s">
        <v>17</v>
      </c>
      <c r="N95" s="42" t="s">
        <v>18</v>
      </c>
      <c r="O95" s="55"/>
    </row>
    <row r="96" spans="1:15">
      <c r="A96" s="54" t="s">
        <v>672</v>
      </c>
      <c r="B96" s="42" t="s">
        <v>34</v>
      </c>
      <c r="C96" s="42" t="s">
        <v>20</v>
      </c>
      <c r="D96" s="42" t="s">
        <v>20</v>
      </c>
      <c r="E96" s="42" t="s">
        <v>681</v>
      </c>
      <c r="F96" s="42" t="s">
        <v>275</v>
      </c>
      <c r="G96" s="42"/>
      <c r="H96" s="42" t="s">
        <v>139</v>
      </c>
      <c r="I96" s="42" t="s">
        <v>139</v>
      </c>
      <c r="J96" s="42" t="s">
        <v>123</v>
      </c>
      <c r="K96" s="42" t="s">
        <v>682</v>
      </c>
      <c r="L96" s="42" t="s">
        <v>683</v>
      </c>
      <c r="M96" s="42" t="s">
        <v>17</v>
      </c>
      <c r="N96" s="42" t="s">
        <v>18</v>
      </c>
      <c r="O96" s="55"/>
    </row>
    <row r="97" spans="1:15">
      <c r="A97" s="54" t="s">
        <v>673</v>
      </c>
      <c r="B97" s="42" t="s">
        <v>34</v>
      </c>
      <c r="C97" s="42" t="s">
        <v>20</v>
      </c>
      <c r="D97" s="42" t="s">
        <v>20</v>
      </c>
      <c r="E97" s="42"/>
      <c r="F97" s="42" t="s">
        <v>276</v>
      </c>
      <c r="G97" s="42" t="s">
        <v>477</v>
      </c>
      <c r="H97" s="42" t="s">
        <v>138</v>
      </c>
      <c r="I97" s="42" t="s">
        <v>138</v>
      </c>
      <c r="J97" s="42" t="s">
        <v>123</v>
      </c>
      <c r="K97" s="42"/>
      <c r="L97" s="42"/>
      <c r="M97" s="42" t="s">
        <v>17</v>
      </c>
      <c r="N97" s="42" t="s">
        <v>18</v>
      </c>
      <c r="O97" s="55"/>
    </row>
    <row r="98" spans="1:15">
      <c r="A98" s="54" t="s">
        <v>674</v>
      </c>
      <c r="B98" s="42" t="s">
        <v>34</v>
      </c>
      <c r="C98" s="42" t="s">
        <v>20</v>
      </c>
      <c r="D98" s="42" t="s">
        <v>20</v>
      </c>
      <c r="E98" s="42"/>
      <c r="F98" s="42" t="s">
        <v>298</v>
      </c>
      <c r="G98" s="42" t="s">
        <v>457</v>
      </c>
      <c r="H98" s="42" t="s">
        <v>139</v>
      </c>
      <c r="I98" s="42" t="s">
        <v>139</v>
      </c>
      <c r="J98" s="42" t="s">
        <v>123</v>
      </c>
      <c r="K98" s="42"/>
      <c r="L98" s="42"/>
      <c r="M98" s="42" t="s">
        <v>17</v>
      </c>
      <c r="N98" s="42" t="s">
        <v>18</v>
      </c>
      <c r="O98" s="55"/>
    </row>
    <row r="99" spans="1:15">
      <c r="A99" s="54" t="s">
        <v>675</v>
      </c>
      <c r="B99" s="42" t="s">
        <v>34</v>
      </c>
      <c r="C99" s="42" t="s">
        <v>20</v>
      </c>
      <c r="D99" s="42" t="s">
        <v>20</v>
      </c>
      <c r="E99" s="42"/>
      <c r="F99" s="42" t="s">
        <v>229</v>
      </c>
      <c r="G99" s="42" t="s">
        <v>478</v>
      </c>
      <c r="H99" s="42" t="s">
        <v>69</v>
      </c>
      <c r="I99" s="42" t="s">
        <v>69</v>
      </c>
      <c r="J99" s="42" t="s">
        <v>123</v>
      </c>
      <c r="K99" s="42"/>
      <c r="L99" s="42"/>
      <c r="M99" s="42" t="s">
        <v>17</v>
      </c>
      <c r="N99" s="42" t="s">
        <v>18</v>
      </c>
      <c r="O99" s="55"/>
    </row>
    <row r="100" spans="1:15">
      <c r="A100" s="54" t="s">
        <v>676</v>
      </c>
      <c r="B100" s="42" t="s">
        <v>34</v>
      </c>
      <c r="C100" s="42" t="s">
        <v>20</v>
      </c>
      <c r="D100" s="42" t="s">
        <v>20</v>
      </c>
      <c r="E100" s="42" t="s">
        <v>402</v>
      </c>
      <c r="F100" s="42" t="s">
        <v>231</v>
      </c>
      <c r="G100" s="42"/>
      <c r="H100" s="42" t="s">
        <v>140</v>
      </c>
      <c r="I100" s="42" t="s">
        <v>140</v>
      </c>
      <c r="J100" s="42" t="s">
        <v>123</v>
      </c>
      <c r="K100" s="42"/>
      <c r="L100" s="42"/>
      <c r="M100" s="42" t="s">
        <v>17</v>
      </c>
      <c r="N100" s="42" t="s">
        <v>18</v>
      </c>
      <c r="O100" s="55"/>
    </row>
    <row r="101" spans="1:15">
      <c r="A101" s="54" t="s">
        <v>677</v>
      </c>
      <c r="B101" s="42" t="s">
        <v>34</v>
      </c>
      <c r="C101" s="42" t="s">
        <v>134</v>
      </c>
      <c r="D101" s="42" t="s">
        <v>134</v>
      </c>
      <c r="E101" s="42">
        <v>2002</v>
      </c>
      <c r="F101" s="42" t="s">
        <v>280</v>
      </c>
      <c r="G101" s="42" t="s">
        <v>479</v>
      </c>
      <c r="H101" s="42" t="s">
        <v>141</v>
      </c>
      <c r="I101" s="42" t="s">
        <v>141</v>
      </c>
      <c r="J101" s="42" t="s">
        <v>123</v>
      </c>
      <c r="K101" s="42"/>
      <c r="L101" s="42"/>
      <c r="M101" s="42" t="s">
        <v>17</v>
      </c>
      <c r="N101" s="42" t="s">
        <v>18</v>
      </c>
      <c r="O101" s="55"/>
    </row>
    <row r="102" spans="1:15">
      <c r="A102" s="54" t="s">
        <v>678</v>
      </c>
      <c r="B102" s="42" t="s">
        <v>34</v>
      </c>
      <c r="C102" s="42" t="s">
        <v>292</v>
      </c>
      <c r="D102" s="42" t="s">
        <v>292</v>
      </c>
      <c r="E102" s="42"/>
      <c r="F102" s="42" t="s">
        <v>282</v>
      </c>
      <c r="G102" s="42" t="s">
        <v>480</v>
      </c>
      <c r="H102" s="42" t="s">
        <v>200</v>
      </c>
      <c r="I102" s="42" t="s">
        <v>200</v>
      </c>
      <c r="J102" s="42" t="s">
        <v>123</v>
      </c>
      <c r="K102" s="42"/>
      <c r="L102" s="42"/>
      <c r="M102" s="42" t="s">
        <v>17</v>
      </c>
      <c r="N102" s="42" t="s">
        <v>18</v>
      </c>
      <c r="O102" s="55"/>
    </row>
    <row r="103" spans="1:15">
      <c r="A103" s="54" t="s">
        <v>679</v>
      </c>
      <c r="B103" s="42" t="s">
        <v>34</v>
      </c>
      <c r="C103" s="42" t="s">
        <v>20</v>
      </c>
      <c r="D103" s="42" t="s">
        <v>20</v>
      </c>
      <c r="E103" s="42"/>
      <c r="F103" s="42" t="s">
        <v>287</v>
      </c>
      <c r="G103" s="42"/>
      <c r="H103" s="42" t="s">
        <v>296</v>
      </c>
      <c r="I103" s="42" t="s">
        <v>296</v>
      </c>
      <c r="J103" s="42" t="s">
        <v>123</v>
      </c>
      <c r="K103" s="42"/>
      <c r="L103" s="42"/>
      <c r="M103" s="42" t="s">
        <v>17</v>
      </c>
      <c r="N103" s="42" t="s">
        <v>18</v>
      </c>
      <c r="O103" s="55"/>
    </row>
    <row r="104" spans="1:15">
      <c r="A104" s="54" t="s">
        <v>680</v>
      </c>
      <c r="B104" s="42" t="s">
        <v>34</v>
      </c>
      <c r="C104" s="42" t="s">
        <v>20</v>
      </c>
      <c r="D104" s="42" t="s">
        <v>20</v>
      </c>
      <c r="E104" s="42" t="s">
        <v>430</v>
      </c>
      <c r="F104" s="42" t="s">
        <v>288</v>
      </c>
      <c r="G104" s="42" t="s">
        <v>472</v>
      </c>
      <c r="H104" s="42" t="s">
        <v>16</v>
      </c>
      <c r="I104" s="42" t="s">
        <v>16</v>
      </c>
      <c r="J104" s="42" t="s">
        <v>123</v>
      </c>
      <c r="K104" s="42"/>
      <c r="L104" s="42"/>
      <c r="M104" s="42" t="s">
        <v>21</v>
      </c>
      <c r="N104" s="42" t="s">
        <v>18</v>
      </c>
      <c r="O104" s="55"/>
    </row>
    <row r="105" spans="1:15">
      <c r="A105" s="54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55"/>
    </row>
    <row r="106" spans="1:15">
      <c r="A106" s="54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55"/>
    </row>
    <row r="107" spans="1:15">
      <c r="A107" s="54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55"/>
    </row>
    <row r="108" spans="1:15">
      <c r="A108" s="54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55"/>
    </row>
    <row r="109" spans="1:15">
      <c r="A109" s="56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8"/>
    </row>
  </sheetData>
  <sheetProtection selectLockedCells="1" selectUnlockedCells="1"/>
  <dataValidations count="2">
    <dataValidation type="list" sqref="M2:M988" xr:uid="{00000000-0002-0000-0100-000000000000}">
      <formula1>"Active,In Stock,Repair,Retired,Lost,Scrapped"</formula1>
    </dataValidation>
    <dataValidation type="list" sqref="N2:N988" xr:uid="{00000000-0002-0000-0100-000001000000}">
      <formula1>"High,Medium,Low"</formula1>
    </dataValidation>
  </dataValidations>
  <pageMargins left="0.75" right="0.75" top="1" bottom="1" header="0.5" footer="0.5"/>
  <pageSetup scale="89" orientation="landscape" r:id="rId1"/>
  <rowBreaks count="1" manualBreakCount="1">
    <brk id="63" max="7" man="1"/>
  </rowBreaks>
  <colBreaks count="1" manualBreakCount="1">
    <brk id="9" max="99" man="1"/>
  </colBreaks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tabColor rgb="FFFF0066"/>
  </sheetPr>
  <dimension ref="A1:C109"/>
  <sheetViews>
    <sheetView workbookViewId="0">
      <selection activeCell="C14" sqref="C14"/>
    </sheetView>
  </sheetViews>
  <sheetFormatPr defaultRowHeight="14.4"/>
  <cols>
    <col min="1" max="1" width="8" bestFit="1" customWidth="1"/>
    <col min="2" max="2" width="14.5546875" bestFit="1" customWidth="1"/>
    <col min="3" max="3" width="14.44140625" bestFit="1" customWidth="1"/>
  </cols>
  <sheetData>
    <row r="1" spans="1:3">
      <c r="A1" s="23" t="s">
        <v>0</v>
      </c>
      <c r="B1" s="23" t="s">
        <v>10</v>
      </c>
      <c r="C1" s="23" t="s">
        <v>22</v>
      </c>
    </row>
    <row r="2" spans="1:3">
      <c r="A2" s="1" t="s">
        <v>35</v>
      </c>
      <c r="B2" s="6">
        <v>47101</v>
      </c>
      <c r="C2" s="2">
        <f ca="1">B2-TODAY()</f>
        <v>897</v>
      </c>
    </row>
    <row r="3" spans="1:3">
      <c r="A3" s="1" t="s">
        <v>36</v>
      </c>
      <c r="B3" s="6">
        <v>47101</v>
      </c>
      <c r="C3" s="2">
        <f t="shared" ref="C3:C66" ca="1" si="0">B3-TODAY()</f>
        <v>897</v>
      </c>
    </row>
    <row r="4" spans="1:3">
      <c r="A4" s="1" t="s">
        <v>37</v>
      </c>
      <c r="B4" s="6">
        <v>47101</v>
      </c>
      <c r="C4" s="2">
        <f t="shared" ca="1" si="0"/>
        <v>897</v>
      </c>
    </row>
    <row r="5" spans="1:3">
      <c r="A5" s="1" t="s">
        <v>38</v>
      </c>
      <c r="B5" s="6">
        <v>47101</v>
      </c>
      <c r="C5" s="2">
        <f t="shared" ca="1" si="0"/>
        <v>897</v>
      </c>
    </row>
    <row r="6" spans="1:3">
      <c r="A6" s="1" t="s">
        <v>39</v>
      </c>
      <c r="B6" s="6">
        <v>47101</v>
      </c>
      <c r="C6" s="2">
        <f t="shared" ca="1" si="0"/>
        <v>897</v>
      </c>
    </row>
    <row r="7" spans="1:3">
      <c r="A7" s="1" t="s">
        <v>40</v>
      </c>
      <c r="B7" s="6">
        <v>47101</v>
      </c>
      <c r="C7" s="2">
        <f t="shared" ca="1" si="0"/>
        <v>897</v>
      </c>
    </row>
    <row r="8" spans="1:3">
      <c r="A8" s="1" t="s">
        <v>41</v>
      </c>
      <c r="B8" s="6">
        <v>47101</v>
      </c>
      <c r="C8" s="2">
        <f t="shared" ca="1" si="0"/>
        <v>897</v>
      </c>
    </row>
    <row r="9" spans="1:3">
      <c r="A9" s="1" t="s">
        <v>42</v>
      </c>
      <c r="B9" s="6">
        <v>47101</v>
      </c>
      <c r="C9" s="2">
        <f t="shared" ca="1" si="0"/>
        <v>897</v>
      </c>
    </row>
    <row r="10" spans="1:3">
      <c r="A10" s="1" t="s">
        <v>43</v>
      </c>
      <c r="B10" s="6">
        <v>47101</v>
      </c>
      <c r="C10" s="2">
        <f t="shared" ca="1" si="0"/>
        <v>897</v>
      </c>
    </row>
    <row r="11" spans="1:3">
      <c r="A11" s="1" t="s">
        <v>44</v>
      </c>
      <c r="B11" s="6">
        <v>47101</v>
      </c>
      <c r="C11" s="2">
        <f t="shared" ca="1" si="0"/>
        <v>897</v>
      </c>
    </row>
    <row r="12" spans="1:3">
      <c r="A12" s="1" t="s">
        <v>45</v>
      </c>
      <c r="B12" s="6">
        <v>47101</v>
      </c>
      <c r="C12" s="2">
        <f t="shared" ca="1" si="0"/>
        <v>897</v>
      </c>
    </row>
    <row r="13" spans="1:3">
      <c r="A13" s="1" t="s">
        <v>46</v>
      </c>
      <c r="B13" s="6">
        <v>47101</v>
      </c>
      <c r="C13" s="2">
        <f t="shared" ca="1" si="0"/>
        <v>897</v>
      </c>
    </row>
    <row r="14" spans="1:3">
      <c r="A14" s="1" t="s">
        <v>47</v>
      </c>
      <c r="B14" s="6">
        <v>47101</v>
      </c>
      <c r="C14" s="2">
        <f t="shared" ca="1" si="0"/>
        <v>897</v>
      </c>
    </row>
    <row r="15" spans="1:3">
      <c r="A15" s="1" t="s">
        <v>48</v>
      </c>
      <c r="B15" s="3"/>
      <c r="C15" s="2">
        <f t="shared" ca="1" si="0"/>
        <v>-46204</v>
      </c>
    </row>
    <row r="16" spans="1:3">
      <c r="A16" s="1" t="s">
        <v>49</v>
      </c>
      <c r="B16" s="3"/>
      <c r="C16" s="2">
        <f t="shared" ca="1" si="0"/>
        <v>-46204</v>
      </c>
    </row>
    <row r="17" spans="1:3">
      <c r="A17" s="1" t="s">
        <v>50</v>
      </c>
      <c r="B17" s="3"/>
      <c r="C17" s="2">
        <f t="shared" ca="1" si="0"/>
        <v>-46204</v>
      </c>
    </row>
    <row r="18" spans="1:3">
      <c r="A18" s="1" t="s">
        <v>51</v>
      </c>
      <c r="B18" s="3"/>
      <c r="C18" s="2">
        <f t="shared" ca="1" si="0"/>
        <v>-46204</v>
      </c>
    </row>
    <row r="19" spans="1:3">
      <c r="A19" s="1" t="s">
        <v>52</v>
      </c>
      <c r="B19" s="3"/>
      <c r="C19" s="2">
        <f t="shared" ca="1" si="0"/>
        <v>-46204</v>
      </c>
    </row>
    <row r="20" spans="1:3">
      <c r="A20" s="1" t="s">
        <v>53</v>
      </c>
      <c r="B20" s="3"/>
      <c r="C20" s="2">
        <f t="shared" ca="1" si="0"/>
        <v>-46204</v>
      </c>
    </row>
    <row r="21" spans="1:3">
      <c r="A21" s="1" t="s">
        <v>72</v>
      </c>
      <c r="B21" s="3"/>
      <c r="C21" s="2">
        <f t="shared" ca="1" si="0"/>
        <v>-46204</v>
      </c>
    </row>
    <row r="22" spans="1:3">
      <c r="A22" s="1" t="s">
        <v>73</v>
      </c>
      <c r="B22" s="7">
        <v>45944</v>
      </c>
      <c r="C22" s="2">
        <f t="shared" ca="1" si="0"/>
        <v>-260</v>
      </c>
    </row>
    <row r="23" spans="1:3">
      <c r="A23" s="1" t="s">
        <v>74</v>
      </c>
      <c r="B23" s="4"/>
      <c r="C23" s="2">
        <f t="shared" ca="1" si="0"/>
        <v>-46204</v>
      </c>
    </row>
    <row r="24" spans="1:3">
      <c r="A24" s="1" t="s">
        <v>75</v>
      </c>
      <c r="B24" s="4"/>
      <c r="C24" s="2">
        <f t="shared" ca="1" si="0"/>
        <v>-46204</v>
      </c>
    </row>
    <row r="25" spans="1:3">
      <c r="A25" s="1" t="s">
        <v>76</v>
      </c>
      <c r="B25" s="7">
        <v>45944</v>
      </c>
      <c r="C25" s="2">
        <f t="shared" ca="1" si="0"/>
        <v>-260</v>
      </c>
    </row>
    <row r="26" spans="1:3">
      <c r="A26" s="1" t="s">
        <v>77</v>
      </c>
      <c r="B26" s="4"/>
      <c r="C26" s="2">
        <f t="shared" ca="1" si="0"/>
        <v>-46204</v>
      </c>
    </row>
    <row r="27" spans="1:3">
      <c r="A27" s="1" t="s">
        <v>78</v>
      </c>
      <c r="B27" s="4"/>
      <c r="C27" s="2">
        <f t="shared" ca="1" si="0"/>
        <v>-46204</v>
      </c>
    </row>
    <row r="28" spans="1:3">
      <c r="A28" s="1" t="s">
        <v>79</v>
      </c>
      <c r="B28" s="4"/>
      <c r="C28" s="2">
        <f t="shared" ca="1" si="0"/>
        <v>-46204</v>
      </c>
    </row>
    <row r="29" spans="1:3">
      <c r="A29" s="1" t="s">
        <v>80</v>
      </c>
      <c r="B29" s="4"/>
      <c r="C29" s="2">
        <f t="shared" ca="1" si="0"/>
        <v>-46204</v>
      </c>
    </row>
    <row r="30" spans="1:3">
      <c r="A30" s="1" t="s">
        <v>81</v>
      </c>
      <c r="B30" s="4"/>
      <c r="C30" s="2">
        <f t="shared" ca="1" si="0"/>
        <v>-46204</v>
      </c>
    </row>
    <row r="31" spans="1:3">
      <c r="A31" s="1" t="s">
        <v>82</v>
      </c>
      <c r="B31" s="4"/>
      <c r="C31" s="2">
        <f t="shared" ca="1" si="0"/>
        <v>-46204</v>
      </c>
    </row>
    <row r="32" spans="1:3">
      <c r="A32" s="1" t="s">
        <v>83</v>
      </c>
      <c r="B32" s="4"/>
      <c r="C32" s="2">
        <f t="shared" ca="1" si="0"/>
        <v>-46204</v>
      </c>
    </row>
    <row r="33" spans="1:3">
      <c r="A33" s="1" t="s">
        <v>84</v>
      </c>
      <c r="B33" s="4"/>
      <c r="C33" s="2">
        <f t="shared" ca="1" si="0"/>
        <v>-46204</v>
      </c>
    </row>
    <row r="34" spans="1:3">
      <c r="A34" s="1" t="s">
        <v>85</v>
      </c>
      <c r="B34" s="4"/>
      <c r="C34" s="2">
        <f t="shared" ca="1" si="0"/>
        <v>-46204</v>
      </c>
    </row>
    <row r="35" spans="1:3">
      <c r="A35" s="1" t="s">
        <v>86</v>
      </c>
      <c r="B35" s="4"/>
      <c r="C35" s="2">
        <f t="shared" ca="1" si="0"/>
        <v>-46204</v>
      </c>
    </row>
    <row r="36" spans="1:3">
      <c r="A36" s="1" t="s">
        <v>87</v>
      </c>
      <c r="B36" s="4"/>
      <c r="C36" s="2">
        <f t="shared" ca="1" si="0"/>
        <v>-46204</v>
      </c>
    </row>
    <row r="37" spans="1:3">
      <c r="A37" s="1" t="s">
        <v>88</v>
      </c>
      <c r="B37" s="4"/>
      <c r="C37" s="2">
        <f t="shared" ca="1" si="0"/>
        <v>-46204</v>
      </c>
    </row>
    <row r="38" spans="1:3">
      <c r="A38" s="1" t="s">
        <v>89</v>
      </c>
      <c r="B38" s="4"/>
      <c r="C38" s="2">
        <f t="shared" ca="1" si="0"/>
        <v>-46204</v>
      </c>
    </row>
    <row r="39" spans="1:3">
      <c r="A39" s="1" t="s">
        <v>90</v>
      </c>
      <c r="B39" s="4"/>
      <c r="C39" s="2">
        <f t="shared" ca="1" si="0"/>
        <v>-46204</v>
      </c>
    </row>
    <row r="40" spans="1:3">
      <c r="A40" s="1" t="s">
        <v>91</v>
      </c>
      <c r="B40" s="4"/>
      <c r="C40" s="2">
        <f t="shared" ca="1" si="0"/>
        <v>-46204</v>
      </c>
    </row>
    <row r="41" spans="1:3">
      <c r="A41" s="1" t="s">
        <v>92</v>
      </c>
      <c r="B41" s="4"/>
      <c r="C41" s="2">
        <f t="shared" ca="1" si="0"/>
        <v>-46204</v>
      </c>
    </row>
    <row r="42" spans="1:3">
      <c r="A42" s="1" t="s">
        <v>93</v>
      </c>
      <c r="B42" s="4"/>
      <c r="C42" s="2">
        <f t="shared" ca="1" si="0"/>
        <v>-46204</v>
      </c>
    </row>
    <row r="43" spans="1:3">
      <c r="A43" s="1" t="s">
        <v>94</v>
      </c>
      <c r="B43" s="4"/>
      <c r="C43" s="2">
        <f t="shared" ca="1" si="0"/>
        <v>-46204</v>
      </c>
    </row>
    <row r="44" spans="1:3">
      <c r="A44" s="1" t="s">
        <v>95</v>
      </c>
      <c r="B44" s="4"/>
      <c r="C44" s="2">
        <f t="shared" ca="1" si="0"/>
        <v>-46204</v>
      </c>
    </row>
    <row r="45" spans="1:3">
      <c r="A45" s="1" t="s">
        <v>96</v>
      </c>
      <c r="B45" s="4"/>
      <c r="C45" s="2">
        <f t="shared" ca="1" si="0"/>
        <v>-46204</v>
      </c>
    </row>
    <row r="46" spans="1:3">
      <c r="A46" s="1" t="s">
        <v>97</v>
      </c>
      <c r="B46" s="4"/>
      <c r="C46" s="2">
        <f t="shared" ca="1" si="0"/>
        <v>-46204</v>
      </c>
    </row>
    <row r="47" spans="1:3">
      <c r="A47" s="1" t="s">
        <v>98</v>
      </c>
      <c r="B47" s="4"/>
      <c r="C47" s="2">
        <f t="shared" ca="1" si="0"/>
        <v>-46204</v>
      </c>
    </row>
    <row r="48" spans="1:3">
      <c r="A48" s="1" t="s">
        <v>99</v>
      </c>
      <c r="B48" s="4"/>
      <c r="C48" s="2">
        <f t="shared" ca="1" si="0"/>
        <v>-46204</v>
      </c>
    </row>
    <row r="49" spans="1:3">
      <c r="A49" s="1" t="s">
        <v>100</v>
      </c>
      <c r="B49" s="4"/>
      <c r="C49" s="2">
        <f t="shared" ca="1" si="0"/>
        <v>-46204</v>
      </c>
    </row>
    <row r="50" spans="1:3">
      <c r="A50" s="1" t="s">
        <v>101</v>
      </c>
      <c r="B50" s="4"/>
      <c r="C50" s="2">
        <f t="shared" ca="1" si="0"/>
        <v>-46204</v>
      </c>
    </row>
    <row r="51" spans="1:3">
      <c r="A51" s="1" t="s">
        <v>102</v>
      </c>
      <c r="B51" s="4"/>
      <c r="C51" s="2">
        <f t="shared" ca="1" si="0"/>
        <v>-46204</v>
      </c>
    </row>
    <row r="52" spans="1:3">
      <c r="A52" s="1" t="s">
        <v>103</v>
      </c>
      <c r="B52" s="4"/>
      <c r="C52" s="2">
        <f t="shared" ca="1" si="0"/>
        <v>-46204</v>
      </c>
    </row>
    <row r="53" spans="1:3">
      <c r="A53" s="1" t="s">
        <v>104</v>
      </c>
      <c r="B53" s="4"/>
      <c r="C53" s="2">
        <f t="shared" ca="1" si="0"/>
        <v>-46204</v>
      </c>
    </row>
    <row r="54" spans="1:3">
      <c r="A54" s="1" t="s">
        <v>105</v>
      </c>
      <c r="B54" s="4"/>
      <c r="C54" s="2">
        <f t="shared" ca="1" si="0"/>
        <v>-46204</v>
      </c>
    </row>
    <row r="55" spans="1:3">
      <c r="A55" s="1" t="s">
        <v>106</v>
      </c>
      <c r="B55" s="4"/>
      <c r="C55" s="2">
        <f t="shared" ca="1" si="0"/>
        <v>-46204</v>
      </c>
    </row>
    <row r="56" spans="1:3">
      <c r="A56" s="1" t="s">
        <v>107</v>
      </c>
      <c r="B56" s="4"/>
      <c r="C56" s="2">
        <f t="shared" ca="1" si="0"/>
        <v>-46204</v>
      </c>
    </row>
    <row r="57" spans="1:3">
      <c r="A57" s="1" t="s">
        <v>108</v>
      </c>
      <c r="B57" s="4"/>
      <c r="C57" s="2">
        <f t="shared" ca="1" si="0"/>
        <v>-46204</v>
      </c>
    </row>
    <row r="58" spans="1:3">
      <c r="A58" s="1" t="s">
        <v>109</v>
      </c>
      <c r="B58" s="4"/>
      <c r="C58" s="2">
        <f t="shared" ca="1" si="0"/>
        <v>-46204</v>
      </c>
    </row>
    <row r="59" spans="1:3">
      <c r="A59" s="1" t="s">
        <v>110</v>
      </c>
      <c r="B59" s="4"/>
      <c r="C59" s="2">
        <f t="shared" ca="1" si="0"/>
        <v>-46204</v>
      </c>
    </row>
    <row r="60" spans="1:3">
      <c r="A60" s="1" t="s">
        <v>111</v>
      </c>
      <c r="B60" s="4"/>
      <c r="C60" s="2">
        <f t="shared" ca="1" si="0"/>
        <v>-46204</v>
      </c>
    </row>
    <row r="61" spans="1:3">
      <c r="A61" s="1" t="s">
        <v>112</v>
      </c>
      <c r="B61" s="4"/>
      <c r="C61" s="2">
        <f t="shared" ca="1" si="0"/>
        <v>-46204</v>
      </c>
    </row>
    <row r="62" spans="1:3">
      <c r="A62" s="1" t="s">
        <v>113</v>
      </c>
      <c r="B62" s="4"/>
      <c r="C62" s="2">
        <f t="shared" ca="1" si="0"/>
        <v>-46204</v>
      </c>
    </row>
    <row r="63" spans="1:3">
      <c r="A63" s="1" t="s">
        <v>114</v>
      </c>
      <c r="B63" s="4"/>
      <c r="C63" s="2">
        <f t="shared" ca="1" si="0"/>
        <v>-46204</v>
      </c>
    </row>
    <row r="64" spans="1:3">
      <c r="A64" s="1" t="s">
        <v>115</v>
      </c>
      <c r="B64" s="4"/>
      <c r="C64" s="2">
        <f t="shared" ca="1" si="0"/>
        <v>-46204</v>
      </c>
    </row>
    <row r="65" spans="1:3">
      <c r="A65" s="1" t="s">
        <v>116</v>
      </c>
      <c r="B65" s="4"/>
      <c r="C65" s="2">
        <f t="shared" ca="1" si="0"/>
        <v>-46204</v>
      </c>
    </row>
    <row r="66" spans="1:3">
      <c r="A66" s="1" t="s">
        <v>117</v>
      </c>
      <c r="B66" s="4"/>
      <c r="C66" s="2">
        <f t="shared" ca="1" si="0"/>
        <v>-46204</v>
      </c>
    </row>
    <row r="67" spans="1:3">
      <c r="A67" s="1" t="s">
        <v>118</v>
      </c>
      <c r="B67" s="4"/>
      <c r="C67" s="2">
        <f t="shared" ref="C67:C108" ca="1" si="1">B67-TODAY()</f>
        <v>-46204</v>
      </c>
    </row>
    <row r="68" spans="1:3">
      <c r="A68" s="1" t="s">
        <v>119</v>
      </c>
      <c r="B68" s="4"/>
      <c r="C68" s="2">
        <f t="shared" ca="1" si="1"/>
        <v>-46204</v>
      </c>
    </row>
    <row r="69" spans="1:3">
      <c r="A69" s="1" t="s">
        <v>124</v>
      </c>
      <c r="B69" s="4"/>
      <c r="C69" s="2">
        <f t="shared" ca="1" si="1"/>
        <v>-46204</v>
      </c>
    </row>
    <row r="70" spans="1:3">
      <c r="A70" s="1" t="s">
        <v>126</v>
      </c>
      <c r="B70" s="4"/>
      <c r="C70" s="2">
        <f t="shared" ca="1" si="1"/>
        <v>-46204</v>
      </c>
    </row>
    <row r="71" spans="1:3">
      <c r="A71" s="1" t="s">
        <v>127</v>
      </c>
      <c r="B71" s="4"/>
      <c r="C71" s="2">
        <f t="shared" ca="1" si="1"/>
        <v>-46204</v>
      </c>
    </row>
    <row r="72" spans="1:3">
      <c r="A72" s="1" t="s">
        <v>128</v>
      </c>
      <c r="B72" s="4"/>
      <c r="C72" s="2">
        <f t="shared" ca="1" si="1"/>
        <v>-46204</v>
      </c>
    </row>
    <row r="73" spans="1:3">
      <c r="A73" s="1" t="s">
        <v>129</v>
      </c>
      <c r="B73" s="4"/>
      <c r="C73" s="2">
        <f t="shared" ca="1" si="1"/>
        <v>-46204</v>
      </c>
    </row>
    <row r="74" spans="1:3">
      <c r="A74" s="1" t="s">
        <v>130</v>
      </c>
      <c r="B74" s="4"/>
      <c r="C74" s="2">
        <f t="shared" ca="1" si="1"/>
        <v>-46204</v>
      </c>
    </row>
    <row r="75" spans="1:3">
      <c r="A75" s="1" t="s">
        <v>131</v>
      </c>
      <c r="B75" s="4"/>
      <c r="C75" s="2">
        <f t="shared" ca="1" si="1"/>
        <v>-46204</v>
      </c>
    </row>
    <row r="76" spans="1:3">
      <c r="A76" s="1" t="s">
        <v>132</v>
      </c>
      <c r="B76" s="4"/>
      <c r="C76" s="2">
        <f t="shared" ca="1" si="1"/>
        <v>-46204</v>
      </c>
    </row>
    <row r="77" spans="1:3">
      <c r="A77" s="1" t="s">
        <v>133</v>
      </c>
      <c r="B77" s="4"/>
      <c r="C77" s="2">
        <f t="shared" ca="1" si="1"/>
        <v>-46204</v>
      </c>
    </row>
    <row r="78" spans="1:3">
      <c r="A78" s="1" t="s">
        <v>142</v>
      </c>
      <c r="B78" s="4"/>
      <c r="C78" s="2">
        <f t="shared" ca="1" si="1"/>
        <v>-46204</v>
      </c>
    </row>
    <row r="79" spans="1:3">
      <c r="A79" s="1" t="s">
        <v>143</v>
      </c>
      <c r="B79" s="4"/>
      <c r="C79" s="2">
        <f t="shared" ca="1" si="1"/>
        <v>-46204</v>
      </c>
    </row>
    <row r="80" spans="1:3">
      <c r="A80" s="1" t="s">
        <v>144</v>
      </c>
      <c r="B80" s="4"/>
      <c r="C80" s="2">
        <f t="shared" ca="1" si="1"/>
        <v>-46204</v>
      </c>
    </row>
    <row r="81" spans="1:3">
      <c r="A81" s="1" t="s">
        <v>145</v>
      </c>
      <c r="B81" s="4"/>
      <c r="C81" s="2">
        <f t="shared" ca="1" si="1"/>
        <v>-46204</v>
      </c>
    </row>
    <row r="82" spans="1:3">
      <c r="A82" s="1" t="s">
        <v>146</v>
      </c>
      <c r="B82" s="4"/>
      <c r="C82" s="2">
        <f t="shared" ca="1" si="1"/>
        <v>-46204</v>
      </c>
    </row>
    <row r="83" spans="1:3">
      <c r="A83" s="1" t="s">
        <v>147</v>
      </c>
      <c r="B83" s="4"/>
      <c r="C83" s="2">
        <f t="shared" ca="1" si="1"/>
        <v>-46204</v>
      </c>
    </row>
    <row r="84" spans="1:3">
      <c r="A84" s="1" t="s">
        <v>148</v>
      </c>
      <c r="B84" s="4"/>
      <c r="C84" s="2">
        <f t="shared" ca="1" si="1"/>
        <v>-46204</v>
      </c>
    </row>
    <row r="85" spans="1:3">
      <c r="A85" s="1" t="s">
        <v>149</v>
      </c>
      <c r="B85" s="4"/>
      <c r="C85" s="2">
        <f t="shared" ca="1" si="1"/>
        <v>-46204</v>
      </c>
    </row>
    <row r="86" spans="1:3">
      <c r="A86" s="1" t="s">
        <v>159</v>
      </c>
      <c r="B86" s="4"/>
      <c r="C86" s="2">
        <f t="shared" ca="1" si="1"/>
        <v>-46204</v>
      </c>
    </row>
    <row r="87" spans="1:3">
      <c r="A87" s="1" t="s">
        <v>169</v>
      </c>
      <c r="B87" s="4"/>
      <c r="C87" s="2">
        <f t="shared" ca="1" si="1"/>
        <v>-46204</v>
      </c>
    </row>
    <row r="88" spans="1:3">
      <c r="A88" s="1" t="s">
        <v>185</v>
      </c>
      <c r="B88" s="4"/>
      <c r="C88" s="2">
        <f t="shared" ca="1" si="1"/>
        <v>-46204</v>
      </c>
    </row>
    <row r="89" spans="1:3">
      <c r="A89" s="1" t="s">
        <v>186</v>
      </c>
      <c r="B89" s="4"/>
      <c r="C89" s="2">
        <f t="shared" ca="1" si="1"/>
        <v>-46204</v>
      </c>
    </row>
    <row r="90" spans="1:3">
      <c r="A90" s="1" t="s">
        <v>187</v>
      </c>
      <c r="B90" s="4"/>
      <c r="C90" s="2">
        <f t="shared" ca="1" si="1"/>
        <v>-46204</v>
      </c>
    </row>
    <row r="91" spans="1:3">
      <c r="A91" s="1" t="s">
        <v>202</v>
      </c>
      <c r="B91" s="4"/>
      <c r="C91" s="2">
        <f t="shared" ca="1" si="1"/>
        <v>-46204</v>
      </c>
    </row>
    <row r="92" spans="1:3">
      <c r="A92" s="1" t="s">
        <v>203</v>
      </c>
      <c r="B92" s="8">
        <v>43338</v>
      </c>
      <c r="C92" s="2">
        <f t="shared" ca="1" si="1"/>
        <v>-2866</v>
      </c>
    </row>
    <row r="93" spans="1:3">
      <c r="A93" s="1" t="s">
        <v>204</v>
      </c>
      <c r="B93" s="8">
        <v>43338</v>
      </c>
      <c r="C93" s="2">
        <f t="shared" ca="1" si="1"/>
        <v>-2866</v>
      </c>
    </row>
    <row r="94" spans="1:3">
      <c r="A94" s="1" t="s">
        <v>205</v>
      </c>
      <c r="B94" s="8">
        <v>43338</v>
      </c>
      <c r="C94" s="2">
        <f t="shared" ca="1" si="1"/>
        <v>-2866</v>
      </c>
    </row>
    <row r="95" spans="1:3">
      <c r="A95" s="1" t="s">
        <v>206</v>
      </c>
      <c r="B95" s="9">
        <v>43335</v>
      </c>
      <c r="C95" s="2">
        <f t="shared" ca="1" si="1"/>
        <v>-2869</v>
      </c>
    </row>
    <row r="96" spans="1:3">
      <c r="A96" s="1" t="s">
        <v>207</v>
      </c>
      <c r="B96" s="10">
        <v>47138</v>
      </c>
      <c r="C96" s="2">
        <f t="shared" ca="1" si="1"/>
        <v>934</v>
      </c>
    </row>
    <row r="97" spans="1:3">
      <c r="A97" s="1" t="s">
        <v>209</v>
      </c>
      <c r="B97" s="4"/>
      <c r="C97" s="2">
        <f t="shared" ca="1" si="1"/>
        <v>-46204</v>
      </c>
    </row>
    <row r="98" spans="1:3">
      <c r="A98" s="1" t="s">
        <v>210</v>
      </c>
      <c r="B98" s="4"/>
      <c r="C98" s="2">
        <f t="shared" ca="1" si="1"/>
        <v>-46204</v>
      </c>
    </row>
    <row r="99" spans="1:3">
      <c r="A99" s="1" t="s">
        <v>211</v>
      </c>
      <c r="B99" s="4"/>
      <c r="C99" s="2">
        <f t="shared" ca="1" si="1"/>
        <v>-46204</v>
      </c>
    </row>
    <row r="100" spans="1:3">
      <c r="A100" s="1" t="s">
        <v>212</v>
      </c>
      <c r="B100" s="4"/>
      <c r="C100" s="2">
        <f t="shared" ca="1" si="1"/>
        <v>-46204</v>
      </c>
    </row>
    <row r="101" spans="1:3">
      <c r="A101" s="1" t="s">
        <v>232</v>
      </c>
      <c r="B101" s="4"/>
      <c r="C101" s="2">
        <f t="shared" ca="1" si="1"/>
        <v>-46204</v>
      </c>
    </row>
    <row r="102" spans="1:3">
      <c r="A102" s="1" t="s">
        <v>284</v>
      </c>
      <c r="B102" s="4"/>
      <c r="C102" s="2">
        <f t="shared" ca="1" si="1"/>
        <v>-46204</v>
      </c>
    </row>
    <row r="103" spans="1:3">
      <c r="A103" s="1" t="s">
        <v>285</v>
      </c>
      <c r="B103" s="4"/>
      <c r="C103" s="2">
        <f t="shared" ca="1" si="1"/>
        <v>-46204</v>
      </c>
    </row>
    <row r="104" spans="1:3">
      <c r="A104" s="1" t="s">
        <v>289</v>
      </c>
      <c r="B104" s="4"/>
      <c r="C104" s="2">
        <f t="shared" ca="1" si="1"/>
        <v>-46204</v>
      </c>
    </row>
    <row r="105" spans="1:3">
      <c r="A105" s="1" t="s">
        <v>290</v>
      </c>
      <c r="B105" s="4"/>
      <c r="C105" s="2">
        <f t="shared" ca="1" si="1"/>
        <v>-46204</v>
      </c>
    </row>
    <row r="106" spans="1:3">
      <c r="A106" s="1" t="s">
        <v>293</v>
      </c>
      <c r="B106" s="4"/>
      <c r="C106" s="2">
        <f t="shared" ca="1" si="1"/>
        <v>-46204</v>
      </c>
    </row>
    <row r="107" spans="1:3">
      <c r="A107" s="1" t="s">
        <v>294</v>
      </c>
      <c r="B107" s="4"/>
      <c r="C107" s="2">
        <f t="shared" ca="1" si="1"/>
        <v>-46204</v>
      </c>
    </row>
    <row r="108" spans="1:3">
      <c r="A108" s="1" t="s">
        <v>297</v>
      </c>
      <c r="B108" s="4"/>
      <c r="C108" s="2">
        <f t="shared" ca="1" si="1"/>
        <v>-46204</v>
      </c>
    </row>
    <row r="109" spans="1:3">
      <c r="A109" s="1" t="s">
        <v>303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tabColor theme="9" tint="-0.249977111117893"/>
  </sheetPr>
  <dimension ref="A1:H236"/>
  <sheetViews>
    <sheetView topLeftCell="C1" workbookViewId="0">
      <pane ySplit="1" topLeftCell="A38" activePane="bottomLeft" state="frozen"/>
      <selection activeCell="E18" sqref="E18"/>
      <selection pane="bottomLeft" activeCell="H55" sqref="H55"/>
    </sheetView>
  </sheetViews>
  <sheetFormatPr defaultRowHeight="14.4"/>
  <cols>
    <col min="1" max="1" width="10.33203125" style="14" bestFit="1" customWidth="1"/>
    <col min="2" max="2" width="10.33203125" bestFit="1" customWidth="1"/>
    <col min="3" max="3" width="36.88671875" bestFit="1" customWidth="1"/>
    <col min="4" max="5" width="8.88671875" style="14"/>
    <col min="6" max="6" width="28.33203125" style="14" bestFit="1" customWidth="1"/>
    <col min="7" max="7" width="24.5546875" style="14" bestFit="1" customWidth="1"/>
    <col min="8" max="8" width="73.109375" bestFit="1" customWidth="1"/>
  </cols>
  <sheetData>
    <row r="1" spans="1:8" ht="18">
      <c r="A1" s="15" t="s">
        <v>23</v>
      </c>
      <c r="B1" s="15" t="s">
        <v>24</v>
      </c>
      <c r="C1" s="15" t="s">
        <v>25</v>
      </c>
      <c r="D1" s="15" t="s">
        <v>12</v>
      </c>
      <c r="E1" s="15" t="s">
        <v>11</v>
      </c>
      <c r="F1" s="15" t="s">
        <v>26</v>
      </c>
      <c r="G1" s="16" t="s">
        <v>876</v>
      </c>
      <c r="H1" s="16" t="s">
        <v>373</v>
      </c>
    </row>
    <row r="2" spans="1:8">
      <c r="A2" s="2" t="s">
        <v>330</v>
      </c>
      <c r="B2" s="5">
        <v>46188</v>
      </c>
      <c r="C2" s="1" t="s">
        <v>333</v>
      </c>
      <c r="D2" s="2" t="s">
        <v>18</v>
      </c>
      <c r="E2" s="2" t="s">
        <v>354</v>
      </c>
      <c r="F2" s="2" t="s">
        <v>357</v>
      </c>
      <c r="G2" s="2" t="s">
        <v>57</v>
      </c>
      <c r="H2" s="1" t="s">
        <v>374</v>
      </c>
    </row>
    <row r="3" spans="1:8">
      <c r="A3" s="2" t="s">
        <v>305</v>
      </c>
      <c r="B3" s="5">
        <v>46188</v>
      </c>
      <c r="C3" s="1" t="s">
        <v>334</v>
      </c>
      <c r="D3" s="2" t="s">
        <v>352</v>
      </c>
      <c r="E3" s="2" t="s">
        <v>355</v>
      </c>
      <c r="F3" s="2" t="s">
        <v>358</v>
      </c>
      <c r="G3" s="2" t="s">
        <v>71</v>
      </c>
      <c r="H3" s="1"/>
    </row>
    <row r="4" spans="1:8">
      <c r="A4" s="2" t="s">
        <v>306</v>
      </c>
      <c r="B4" s="5">
        <v>46188</v>
      </c>
      <c r="C4" s="1" t="s">
        <v>335</v>
      </c>
      <c r="D4" s="2" t="s">
        <v>353</v>
      </c>
      <c r="E4" s="2" t="s">
        <v>355</v>
      </c>
      <c r="F4" s="2" t="s">
        <v>358</v>
      </c>
      <c r="G4" s="2" t="s">
        <v>363</v>
      </c>
      <c r="H4" s="1"/>
    </row>
    <row r="5" spans="1:8">
      <c r="A5" s="2" t="s">
        <v>307</v>
      </c>
      <c r="B5" s="1" t="s">
        <v>331</v>
      </c>
      <c r="C5" s="1" t="s">
        <v>336</v>
      </c>
      <c r="D5" s="2" t="s">
        <v>18</v>
      </c>
      <c r="E5" s="2" t="s">
        <v>355</v>
      </c>
      <c r="F5" s="2" t="s">
        <v>357</v>
      </c>
      <c r="G5" s="2" t="s">
        <v>57</v>
      </c>
      <c r="H5" s="1" t="s">
        <v>375</v>
      </c>
    </row>
    <row r="6" spans="1:8">
      <c r="A6" s="2" t="s">
        <v>308</v>
      </c>
      <c r="B6" s="1" t="s">
        <v>332</v>
      </c>
      <c r="C6" s="1" t="s">
        <v>337</v>
      </c>
      <c r="D6" s="2" t="s">
        <v>18</v>
      </c>
      <c r="E6" s="2" t="s">
        <v>355</v>
      </c>
      <c r="F6" s="2" t="s">
        <v>358</v>
      </c>
      <c r="G6" s="2" t="s">
        <v>364</v>
      </c>
      <c r="H6" s="1"/>
    </row>
    <row r="7" spans="1:8">
      <c r="A7" s="2" t="s">
        <v>309</v>
      </c>
      <c r="B7" s="1" t="s">
        <v>332</v>
      </c>
      <c r="C7" s="1" t="s">
        <v>338</v>
      </c>
      <c r="D7" s="2" t="s">
        <v>352</v>
      </c>
      <c r="E7" s="2" t="s">
        <v>355</v>
      </c>
      <c r="F7" s="2" t="s">
        <v>358</v>
      </c>
      <c r="G7" s="2" t="s">
        <v>365</v>
      </c>
      <c r="H7" s="1"/>
    </row>
    <row r="8" spans="1:8">
      <c r="A8" s="2" t="s">
        <v>310</v>
      </c>
      <c r="B8" s="1" t="s">
        <v>332</v>
      </c>
      <c r="C8" s="1" t="s">
        <v>339</v>
      </c>
      <c r="D8" s="2" t="s">
        <v>18</v>
      </c>
      <c r="E8" s="2" t="s">
        <v>355</v>
      </c>
      <c r="F8" s="2" t="s">
        <v>358</v>
      </c>
      <c r="G8" s="2" t="s">
        <v>69</v>
      </c>
      <c r="H8" s="1"/>
    </row>
    <row r="9" spans="1:8">
      <c r="A9" s="2" t="s">
        <v>311</v>
      </c>
      <c r="B9" s="1" t="s">
        <v>332</v>
      </c>
      <c r="C9" s="1" t="s">
        <v>340</v>
      </c>
      <c r="D9" s="2" t="s">
        <v>18</v>
      </c>
      <c r="E9" s="2" t="s">
        <v>355</v>
      </c>
      <c r="F9" s="2" t="s">
        <v>358</v>
      </c>
      <c r="G9" s="2" t="s">
        <v>366</v>
      </c>
      <c r="H9" s="1"/>
    </row>
    <row r="10" spans="1:8">
      <c r="A10" s="2" t="s">
        <v>312</v>
      </c>
      <c r="B10" s="5">
        <v>46190</v>
      </c>
      <c r="C10" s="1" t="s">
        <v>341</v>
      </c>
      <c r="D10" s="2" t="s">
        <v>18</v>
      </c>
      <c r="E10" s="2" t="s">
        <v>355</v>
      </c>
      <c r="F10" s="2" t="s">
        <v>120</v>
      </c>
      <c r="G10" s="2" t="s">
        <v>367</v>
      </c>
      <c r="H10" s="1" t="s">
        <v>376</v>
      </c>
    </row>
    <row r="11" spans="1:8">
      <c r="A11" s="2" t="s">
        <v>313</v>
      </c>
      <c r="B11" s="5">
        <v>46190</v>
      </c>
      <c r="C11" s="1" t="s">
        <v>342</v>
      </c>
      <c r="D11" s="2" t="s">
        <v>352</v>
      </c>
      <c r="E11" s="2" t="s">
        <v>354</v>
      </c>
      <c r="F11" s="2" t="s">
        <v>120</v>
      </c>
      <c r="G11" s="2" t="s">
        <v>368</v>
      </c>
      <c r="H11" s="1" t="s">
        <v>377</v>
      </c>
    </row>
    <row r="12" spans="1:8">
      <c r="A12" s="2" t="s">
        <v>314</v>
      </c>
      <c r="B12" s="5">
        <v>46190</v>
      </c>
      <c r="C12" s="1" t="s">
        <v>343</v>
      </c>
      <c r="D12" s="2" t="s">
        <v>352</v>
      </c>
      <c r="E12" s="2" t="s">
        <v>354</v>
      </c>
      <c r="F12" s="2" t="s">
        <v>120</v>
      </c>
      <c r="G12" s="2" t="s">
        <v>369</v>
      </c>
      <c r="H12" s="1" t="s">
        <v>378</v>
      </c>
    </row>
    <row r="13" spans="1:8">
      <c r="A13" s="2" t="s">
        <v>315</v>
      </c>
      <c r="B13" s="5">
        <v>46190</v>
      </c>
      <c r="C13" s="1" t="s">
        <v>344</v>
      </c>
      <c r="D13" s="2" t="s">
        <v>18</v>
      </c>
      <c r="E13" s="2" t="s">
        <v>356</v>
      </c>
      <c r="F13" s="2" t="s">
        <v>359</v>
      </c>
      <c r="G13" s="2" t="s">
        <v>367</v>
      </c>
      <c r="H13" s="1" t="s">
        <v>379</v>
      </c>
    </row>
    <row r="14" spans="1:8">
      <c r="A14" s="2" t="s">
        <v>316</v>
      </c>
      <c r="B14" s="5">
        <v>46191</v>
      </c>
      <c r="C14" s="1" t="s">
        <v>345</v>
      </c>
      <c r="D14" s="2" t="s">
        <v>18</v>
      </c>
      <c r="E14" s="2" t="s">
        <v>354</v>
      </c>
      <c r="F14" s="2" t="s">
        <v>360</v>
      </c>
      <c r="G14" s="2" t="s">
        <v>367</v>
      </c>
      <c r="H14" s="1" t="s">
        <v>380</v>
      </c>
    </row>
    <row r="15" spans="1:8">
      <c r="A15" s="2" t="s">
        <v>317</v>
      </c>
      <c r="B15" s="5">
        <v>46191</v>
      </c>
      <c r="C15" s="1" t="s">
        <v>346</v>
      </c>
      <c r="D15" s="2" t="s">
        <v>18</v>
      </c>
      <c r="E15" s="2" t="s">
        <v>355</v>
      </c>
      <c r="F15" s="2" t="s">
        <v>359</v>
      </c>
      <c r="G15" s="2" t="s">
        <v>141</v>
      </c>
      <c r="H15" s="1" t="s">
        <v>381</v>
      </c>
    </row>
    <row r="16" spans="1:8">
      <c r="A16" s="2" t="s">
        <v>318</v>
      </c>
      <c r="B16" s="5">
        <v>46191</v>
      </c>
      <c r="C16" s="1" t="s">
        <v>347</v>
      </c>
      <c r="D16" s="2" t="s">
        <v>18</v>
      </c>
      <c r="E16" s="2" t="s">
        <v>355</v>
      </c>
      <c r="F16" s="2" t="s">
        <v>359</v>
      </c>
      <c r="G16" s="2" t="s">
        <v>370</v>
      </c>
      <c r="H16" s="1" t="s">
        <v>382</v>
      </c>
    </row>
    <row r="17" spans="1:8">
      <c r="A17" s="2" t="s">
        <v>319</v>
      </c>
      <c r="B17" s="5">
        <v>46191</v>
      </c>
      <c r="C17" s="1" t="s">
        <v>348</v>
      </c>
      <c r="D17" s="2" t="s">
        <v>18</v>
      </c>
      <c r="E17" s="2" t="s">
        <v>355</v>
      </c>
      <c r="F17" s="2" t="s">
        <v>361</v>
      </c>
      <c r="G17" s="2" t="s">
        <v>371</v>
      </c>
      <c r="H17" s="1" t="s">
        <v>383</v>
      </c>
    </row>
    <row r="18" spans="1:8">
      <c r="A18" s="2" t="s">
        <v>320</v>
      </c>
      <c r="B18" s="5">
        <v>46191</v>
      </c>
      <c r="C18" s="1" t="s">
        <v>349</v>
      </c>
      <c r="D18" s="2" t="s">
        <v>18</v>
      </c>
      <c r="E18" s="2" t="s">
        <v>355</v>
      </c>
      <c r="F18" s="2" t="s">
        <v>361</v>
      </c>
      <c r="G18" s="2" t="s">
        <v>371</v>
      </c>
      <c r="H18" s="1" t="s">
        <v>384</v>
      </c>
    </row>
    <row r="19" spans="1:8">
      <c r="A19" s="2" t="s">
        <v>321</v>
      </c>
      <c r="B19" s="5">
        <v>46192</v>
      </c>
      <c r="C19" s="1" t="s">
        <v>350</v>
      </c>
      <c r="D19" s="2" t="s">
        <v>18</v>
      </c>
      <c r="E19" s="2" t="s">
        <v>356</v>
      </c>
      <c r="F19" s="2" t="s">
        <v>362</v>
      </c>
      <c r="G19" s="2" t="s">
        <v>372</v>
      </c>
      <c r="H19" s="1" t="s">
        <v>385</v>
      </c>
    </row>
    <row r="20" spans="1:8">
      <c r="A20" s="2" t="s">
        <v>322</v>
      </c>
      <c r="B20" s="5">
        <v>46192</v>
      </c>
      <c r="C20" s="1" t="s">
        <v>351</v>
      </c>
      <c r="D20" s="2" t="s">
        <v>352</v>
      </c>
      <c r="E20" s="2" t="s">
        <v>355</v>
      </c>
      <c r="F20" s="2" t="s">
        <v>361</v>
      </c>
      <c r="G20" s="2" t="s">
        <v>125</v>
      </c>
      <c r="H20" s="1" t="s">
        <v>386</v>
      </c>
    </row>
    <row r="21" spans="1:8">
      <c r="A21" s="2" t="s">
        <v>323</v>
      </c>
      <c r="B21" s="5">
        <v>46192</v>
      </c>
      <c r="C21" s="1" t="s">
        <v>351</v>
      </c>
      <c r="D21" s="2" t="s">
        <v>352</v>
      </c>
      <c r="E21" s="2" t="s">
        <v>355</v>
      </c>
      <c r="F21" s="2" t="s">
        <v>361</v>
      </c>
      <c r="G21" s="2" t="s">
        <v>279</v>
      </c>
      <c r="H21" s="1" t="s">
        <v>386</v>
      </c>
    </row>
    <row r="22" spans="1:8">
      <c r="A22" s="2" t="s">
        <v>324</v>
      </c>
      <c r="B22" s="5">
        <v>46193</v>
      </c>
      <c r="C22" s="1" t="s">
        <v>390</v>
      </c>
      <c r="D22" s="2" t="s">
        <v>352</v>
      </c>
      <c r="E22" s="2" t="s">
        <v>355</v>
      </c>
      <c r="F22" s="2" t="s">
        <v>361</v>
      </c>
      <c r="G22" s="2" t="s">
        <v>125</v>
      </c>
      <c r="H22" s="1" t="s">
        <v>391</v>
      </c>
    </row>
    <row r="23" spans="1:8">
      <c r="A23" s="2" t="s">
        <v>325</v>
      </c>
      <c r="B23" s="5">
        <v>46193</v>
      </c>
      <c r="C23" s="1" t="s">
        <v>351</v>
      </c>
      <c r="D23" s="2" t="s">
        <v>18</v>
      </c>
      <c r="E23" s="2" t="s">
        <v>354</v>
      </c>
      <c r="F23" s="2" t="s">
        <v>120</v>
      </c>
      <c r="G23" s="2" t="s">
        <v>411</v>
      </c>
      <c r="H23" s="1" t="s">
        <v>412</v>
      </c>
    </row>
    <row r="24" spans="1:8">
      <c r="A24" s="2" t="s">
        <v>326</v>
      </c>
      <c r="B24" s="5">
        <v>46193</v>
      </c>
      <c r="C24" s="1" t="s">
        <v>413</v>
      </c>
      <c r="D24" s="2" t="s">
        <v>18</v>
      </c>
      <c r="E24" s="2" t="s">
        <v>356</v>
      </c>
      <c r="F24" s="2" t="s">
        <v>361</v>
      </c>
      <c r="G24" s="2" t="s">
        <v>411</v>
      </c>
      <c r="H24" s="1" t="s">
        <v>414</v>
      </c>
    </row>
    <row r="25" spans="1:8">
      <c r="A25" s="2" t="s">
        <v>327</v>
      </c>
      <c r="B25" s="5">
        <v>46193</v>
      </c>
      <c r="C25" s="1" t="s">
        <v>415</v>
      </c>
      <c r="D25" s="2" t="s">
        <v>18</v>
      </c>
      <c r="E25" s="2" t="s">
        <v>355</v>
      </c>
      <c r="F25" s="2" t="s">
        <v>416</v>
      </c>
      <c r="G25" s="2" t="s">
        <v>417</v>
      </c>
      <c r="H25" s="1" t="s">
        <v>418</v>
      </c>
    </row>
    <row r="26" spans="1:8">
      <c r="A26" s="2" t="s">
        <v>328</v>
      </c>
      <c r="B26" s="5">
        <v>46193</v>
      </c>
      <c r="C26" s="1" t="s">
        <v>420</v>
      </c>
      <c r="D26" s="2" t="s">
        <v>18</v>
      </c>
      <c r="E26" s="2" t="s">
        <v>355</v>
      </c>
      <c r="F26" s="2" t="s">
        <v>361</v>
      </c>
      <c r="G26" s="2" t="s">
        <v>141</v>
      </c>
      <c r="H26" s="1" t="s">
        <v>421</v>
      </c>
    </row>
    <row r="27" spans="1:8">
      <c r="A27" s="2" t="s">
        <v>329</v>
      </c>
      <c r="B27" s="5">
        <v>46193</v>
      </c>
      <c r="C27" s="1" t="s">
        <v>422</v>
      </c>
      <c r="D27" s="2" t="s">
        <v>18</v>
      </c>
      <c r="E27" s="2" t="s">
        <v>355</v>
      </c>
      <c r="F27" s="2" t="s">
        <v>423</v>
      </c>
      <c r="G27" s="2" t="s">
        <v>141</v>
      </c>
      <c r="H27" s="1" t="s">
        <v>424</v>
      </c>
    </row>
    <row r="28" spans="1:8">
      <c r="A28" s="2" t="s">
        <v>427</v>
      </c>
      <c r="B28" s="5">
        <v>46193</v>
      </c>
      <c r="C28" s="1" t="s">
        <v>420</v>
      </c>
      <c r="D28" s="2" t="s">
        <v>18</v>
      </c>
      <c r="E28" s="2" t="s">
        <v>355</v>
      </c>
      <c r="F28" s="2" t="s">
        <v>361</v>
      </c>
      <c r="G28" s="2" t="s">
        <v>141</v>
      </c>
      <c r="H28" s="1" t="s">
        <v>421</v>
      </c>
    </row>
    <row r="29" spans="1:8">
      <c r="A29" s="2" t="s">
        <v>428</v>
      </c>
      <c r="B29" s="5">
        <v>46193</v>
      </c>
      <c r="C29" s="1" t="s">
        <v>422</v>
      </c>
      <c r="D29" s="2" t="s">
        <v>18</v>
      </c>
      <c r="E29" s="2" t="s">
        <v>355</v>
      </c>
      <c r="F29" s="22" t="s">
        <v>361</v>
      </c>
      <c r="G29" s="2" t="s">
        <v>423</v>
      </c>
      <c r="H29" s="1" t="s">
        <v>424</v>
      </c>
    </row>
    <row r="30" spans="1:8">
      <c r="A30" s="2" t="s">
        <v>482</v>
      </c>
      <c r="B30" s="5">
        <v>46195</v>
      </c>
      <c r="C30" s="1" t="s">
        <v>485</v>
      </c>
      <c r="D30" s="2" t="s">
        <v>18</v>
      </c>
      <c r="E30" s="2" t="s">
        <v>355</v>
      </c>
      <c r="F30" s="2" t="s">
        <v>361</v>
      </c>
      <c r="G30" s="2" t="s">
        <v>371</v>
      </c>
      <c r="H30" s="1" t="s">
        <v>486</v>
      </c>
    </row>
    <row r="31" spans="1:8">
      <c r="A31" s="2" t="s">
        <v>483</v>
      </c>
      <c r="B31" s="5">
        <v>46195</v>
      </c>
      <c r="C31" s="1" t="s">
        <v>351</v>
      </c>
      <c r="D31" s="2" t="s">
        <v>18</v>
      </c>
      <c r="E31" s="2" t="s">
        <v>355</v>
      </c>
      <c r="F31" s="2" t="s">
        <v>361</v>
      </c>
      <c r="G31" s="2" t="s">
        <v>487</v>
      </c>
      <c r="H31" s="1" t="s">
        <v>488</v>
      </c>
    </row>
    <row r="32" spans="1:8">
      <c r="A32" s="2" t="s">
        <v>484</v>
      </c>
      <c r="B32" s="5">
        <v>46195</v>
      </c>
      <c r="C32" s="1" t="s">
        <v>490</v>
      </c>
      <c r="D32" s="2" t="s">
        <v>18</v>
      </c>
      <c r="E32" s="2" t="s">
        <v>355</v>
      </c>
      <c r="F32" s="2" t="s">
        <v>361</v>
      </c>
      <c r="G32" s="2" t="s">
        <v>489</v>
      </c>
      <c r="H32" s="1" t="s">
        <v>491</v>
      </c>
    </row>
    <row r="33" spans="1:8">
      <c r="A33" s="2" t="s">
        <v>687</v>
      </c>
      <c r="B33" s="5">
        <v>46196</v>
      </c>
      <c r="C33" s="1" t="s">
        <v>346</v>
      </c>
      <c r="D33" s="2" t="s">
        <v>352</v>
      </c>
      <c r="E33" s="2" t="s">
        <v>355</v>
      </c>
      <c r="F33" s="2" t="s">
        <v>361</v>
      </c>
      <c r="G33" s="2" t="s">
        <v>171</v>
      </c>
      <c r="H33" s="1" t="s">
        <v>688</v>
      </c>
    </row>
    <row r="34" spans="1:8">
      <c r="A34" s="2" t="s">
        <v>718</v>
      </c>
      <c r="B34" s="5">
        <v>46196</v>
      </c>
      <c r="C34" s="1" t="s">
        <v>689</v>
      </c>
      <c r="D34" s="2" t="s">
        <v>18</v>
      </c>
      <c r="E34" s="2" t="s">
        <v>355</v>
      </c>
      <c r="F34" s="2" t="s">
        <v>361</v>
      </c>
      <c r="G34" s="2" t="s">
        <v>690</v>
      </c>
      <c r="H34" s="1" t="s">
        <v>691</v>
      </c>
    </row>
    <row r="35" spans="1:8">
      <c r="A35" s="2" t="s">
        <v>719</v>
      </c>
      <c r="B35" s="5">
        <v>46196</v>
      </c>
      <c r="C35" s="1" t="s">
        <v>692</v>
      </c>
      <c r="D35" s="2" t="s">
        <v>352</v>
      </c>
      <c r="E35" s="2" t="s">
        <v>355</v>
      </c>
      <c r="F35" s="2" t="s">
        <v>693</v>
      </c>
      <c r="G35" s="2" t="s">
        <v>694</v>
      </c>
      <c r="H35" s="1" t="s">
        <v>695</v>
      </c>
    </row>
    <row r="36" spans="1:8">
      <c r="A36" s="2" t="s">
        <v>720</v>
      </c>
      <c r="B36" s="5">
        <v>46196</v>
      </c>
      <c r="C36" s="1" t="s">
        <v>696</v>
      </c>
      <c r="D36" s="2" t="s">
        <v>18</v>
      </c>
      <c r="E36" s="2" t="s">
        <v>355</v>
      </c>
      <c r="F36" s="2" t="s">
        <v>361</v>
      </c>
      <c r="G36" s="2" t="s">
        <v>66</v>
      </c>
      <c r="H36" s="1" t="s">
        <v>697</v>
      </c>
    </row>
    <row r="37" spans="1:8">
      <c r="A37" s="2" t="s">
        <v>721</v>
      </c>
      <c r="B37" s="5">
        <v>46196</v>
      </c>
      <c r="C37" s="1" t="s">
        <v>698</v>
      </c>
      <c r="D37" s="2" t="s">
        <v>18</v>
      </c>
      <c r="E37" s="2" t="s">
        <v>356</v>
      </c>
      <c r="F37" s="2" t="s">
        <v>120</v>
      </c>
      <c r="G37" s="2" t="s">
        <v>699</v>
      </c>
      <c r="H37" s="1" t="s">
        <v>700</v>
      </c>
    </row>
    <row r="38" spans="1:8">
      <c r="A38" s="2" t="s">
        <v>722</v>
      </c>
      <c r="B38" s="5">
        <v>46197</v>
      </c>
      <c r="C38" s="1" t="s">
        <v>701</v>
      </c>
      <c r="D38" s="2" t="s">
        <v>18</v>
      </c>
      <c r="E38" s="2" t="s">
        <v>356</v>
      </c>
      <c r="F38" s="2" t="s">
        <v>702</v>
      </c>
      <c r="G38" s="2" t="s">
        <v>411</v>
      </c>
      <c r="H38" s="1" t="s">
        <v>703</v>
      </c>
    </row>
    <row r="39" spans="1:8">
      <c r="A39" s="2" t="s">
        <v>723</v>
      </c>
      <c r="B39" s="5">
        <v>46197</v>
      </c>
      <c r="C39" s="1" t="s">
        <v>704</v>
      </c>
      <c r="D39" s="2" t="s">
        <v>18</v>
      </c>
      <c r="E39" s="2" t="s">
        <v>356</v>
      </c>
      <c r="F39" s="2" t="s">
        <v>702</v>
      </c>
      <c r="G39" s="2" t="s">
        <v>411</v>
      </c>
      <c r="H39" s="1" t="s">
        <v>705</v>
      </c>
    </row>
    <row r="40" spans="1:8">
      <c r="A40" s="2" t="s">
        <v>724</v>
      </c>
      <c r="B40" s="5">
        <v>46197</v>
      </c>
      <c r="C40" s="1" t="s">
        <v>715</v>
      </c>
      <c r="D40" s="2" t="s">
        <v>18</v>
      </c>
      <c r="E40" s="2" t="s">
        <v>356</v>
      </c>
      <c r="F40" s="2" t="s">
        <v>416</v>
      </c>
      <c r="G40" s="2" t="s">
        <v>716</v>
      </c>
      <c r="H40" s="1" t="s">
        <v>717</v>
      </c>
    </row>
    <row r="41" spans="1:8">
      <c r="A41" s="2" t="s">
        <v>725</v>
      </c>
      <c r="B41" s="5">
        <v>46197</v>
      </c>
      <c r="C41" s="1" t="s">
        <v>726</v>
      </c>
      <c r="D41" s="2" t="s">
        <v>18</v>
      </c>
      <c r="E41" s="2" t="s">
        <v>356</v>
      </c>
      <c r="F41" s="2" t="s">
        <v>361</v>
      </c>
      <c r="G41" s="2" t="s">
        <v>727</v>
      </c>
      <c r="H41" s="1" t="s">
        <v>728</v>
      </c>
    </row>
    <row r="42" spans="1:8">
      <c r="A42" s="2" t="s">
        <v>729</v>
      </c>
      <c r="B42" s="5">
        <v>46197</v>
      </c>
      <c r="C42" s="1" t="s">
        <v>730</v>
      </c>
      <c r="D42" s="2" t="s">
        <v>352</v>
      </c>
      <c r="E42" s="2" t="s">
        <v>355</v>
      </c>
      <c r="F42" s="2" t="s">
        <v>693</v>
      </c>
      <c r="G42" s="2" t="s">
        <v>367</v>
      </c>
      <c r="H42" s="1" t="s">
        <v>731</v>
      </c>
    </row>
    <row r="43" spans="1:8">
      <c r="A43" s="2" t="s">
        <v>734</v>
      </c>
      <c r="B43" s="5">
        <v>46197</v>
      </c>
      <c r="C43" s="1" t="s">
        <v>732</v>
      </c>
      <c r="D43" s="2" t="s">
        <v>352</v>
      </c>
      <c r="E43" s="2" t="s">
        <v>356</v>
      </c>
      <c r="F43" s="2" t="s">
        <v>416</v>
      </c>
      <c r="G43" s="2" t="s">
        <v>16</v>
      </c>
      <c r="H43" s="1" t="s">
        <v>733</v>
      </c>
    </row>
    <row r="44" spans="1:8">
      <c r="A44" s="2" t="s">
        <v>823</v>
      </c>
      <c r="B44" s="5">
        <v>46198</v>
      </c>
      <c r="C44" s="1" t="s">
        <v>859</v>
      </c>
      <c r="D44" s="2" t="s">
        <v>18</v>
      </c>
      <c r="E44" s="2" t="s">
        <v>355</v>
      </c>
      <c r="F44" s="2" t="s">
        <v>361</v>
      </c>
      <c r="G44" s="2" t="s">
        <v>861</v>
      </c>
      <c r="H44" s="1" t="s">
        <v>862</v>
      </c>
    </row>
    <row r="45" spans="1:8">
      <c r="A45" s="2" t="s">
        <v>824</v>
      </c>
      <c r="B45" s="5">
        <v>46198</v>
      </c>
      <c r="C45" s="1" t="s">
        <v>860</v>
      </c>
      <c r="D45" s="2" t="s">
        <v>352</v>
      </c>
      <c r="E45" s="2" t="s">
        <v>355</v>
      </c>
      <c r="F45" s="2" t="s">
        <v>361</v>
      </c>
      <c r="G45" s="2" t="s">
        <v>61</v>
      </c>
      <c r="H45" s="1" t="s">
        <v>863</v>
      </c>
    </row>
    <row r="46" spans="1:8">
      <c r="A46" s="2" t="s">
        <v>825</v>
      </c>
      <c r="B46" s="5">
        <v>46198</v>
      </c>
      <c r="C46" s="1" t="s">
        <v>864</v>
      </c>
      <c r="D46" s="2" t="s">
        <v>18</v>
      </c>
      <c r="E46" s="2" t="s">
        <v>355</v>
      </c>
      <c r="F46" s="2" t="s">
        <v>361</v>
      </c>
      <c r="G46" s="2" t="s">
        <v>865</v>
      </c>
      <c r="H46" s="1" t="s">
        <v>866</v>
      </c>
    </row>
    <row r="47" spans="1:8">
      <c r="A47" s="2" t="s">
        <v>826</v>
      </c>
      <c r="B47" s="5">
        <v>46199</v>
      </c>
      <c r="C47" s="1" t="s">
        <v>867</v>
      </c>
      <c r="D47" s="2" t="s">
        <v>352</v>
      </c>
      <c r="E47" s="2" t="s">
        <v>355</v>
      </c>
      <c r="F47" s="2" t="s">
        <v>361</v>
      </c>
      <c r="G47" s="2" t="s">
        <v>868</v>
      </c>
      <c r="H47" s="1" t="s">
        <v>869</v>
      </c>
    </row>
    <row r="48" spans="1:8">
      <c r="A48" s="2" t="s">
        <v>827</v>
      </c>
      <c r="B48" s="5">
        <v>46200</v>
      </c>
      <c r="C48" s="1" t="s">
        <v>872</v>
      </c>
      <c r="D48" s="2" t="s">
        <v>352</v>
      </c>
      <c r="E48" s="2" t="s">
        <v>355</v>
      </c>
      <c r="F48" s="2" t="s">
        <v>361</v>
      </c>
      <c r="G48" s="2" t="s">
        <v>873</v>
      </c>
      <c r="H48" s="1" t="s">
        <v>874</v>
      </c>
    </row>
    <row r="49" spans="1:8">
      <c r="A49" s="2" t="s">
        <v>828</v>
      </c>
      <c r="B49" s="5">
        <v>46200</v>
      </c>
      <c r="C49" s="1" t="s">
        <v>875</v>
      </c>
      <c r="D49" s="2" t="s">
        <v>352</v>
      </c>
      <c r="E49" s="2" t="s">
        <v>355</v>
      </c>
      <c r="F49" s="2" t="s">
        <v>361</v>
      </c>
      <c r="G49" s="2" t="s">
        <v>877</v>
      </c>
      <c r="H49" s="1" t="s">
        <v>878</v>
      </c>
    </row>
    <row r="50" spans="1:8">
      <c r="A50" s="2" t="s">
        <v>829</v>
      </c>
      <c r="B50" s="5">
        <v>46200</v>
      </c>
      <c r="C50" s="1" t="s">
        <v>879</v>
      </c>
      <c r="D50" s="2" t="s">
        <v>352</v>
      </c>
      <c r="E50" s="2" t="s">
        <v>355</v>
      </c>
      <c r="F50" s="2" t="s">
        <v>361</v>
      </c>
      <c r="G50" s="2" t="s">
        <v>880</v>
      </c>
      <c r="H50" s="1" t="s">
        <v>881</v>
      </c>
    </row>
    <row r="51" spans="1:8">
      <c r="A51" s="2" t="s">
        <v>830</v>
      </c>
      <c r="B51" s="5">
        <v>46200</v>
      </c>
      <c r="C51" s="1" t="s">
        <v>882</v>
      </c>
      <c r="D51" s="2" t="s">
        <v>883</v>
      </c>
      <c r="E51" s="2" t="s">
        <v>356</v>
      </c>
      <c r="F51" s="2" t="s">
        <v>361</v>
      </c>
      <c r="G51" s="2" t="s">
        <v>66</v>
      </c>
      <c r="H51" s="1" t="s">
        <v>884</v>
      </c>
    </row>
    <row r="52" spans="1:8">
      <c r="A52" s="2" t="s">
        <v>831</v>
      </c>
      <c r="B52" s="5">
        <v>46202</v>
      </c>
      <c r="C52" s="1" t="s">
        <v>885</v>
      </c>
      <c r="D52" s="2" t="s">
        <v>18</v>
      </c>
      <c r="E52" s="2" t="s">
        <v>355</v>
      </c>
      <c r="F52" s="2" t="s">
        <v>361</v>
      </c>
      <c r="G52" s="2" t="s">
        <v>886</v>
      </c>
      <c r="H52" s="1" t="s">
        <v>887</v>
      </c>
    </row>
    <row r="53" spans="1:8">
      <c r="A53" s="2" t="s">
        <v>832</v>
      </c>
      <c r="B53" s="5">
        <v>46202</v>
      </c>
      <c r="C53" s="1" t="s">
        <v>888</v>
      </c>
      <c r="D53" s="2" t="s">
        <v>352</v>
      </c>
      <c r="E53" s="2" t="s">
        <v>355</v>
      </c>
      <c r="F53" s="2" t="s">
        <v>361</v>
      </c>
      <c r="G53" s="2" t="s">
        <v>171</v>
      </c>
      <c r="H53" s="1" t="s">
        <v>889</v>
      </c>
    </row>
    <row r="54" spans="1:8">
      <c r="A54" s="2" t="s">
        <v>833</v>
      </c>
      <c r="B54" s="5">
        <v>46202</v>
      </c>
      <c r="C54" s="1" t="s">
        <v>890</v>
      </c>
      <c r="D54" s="2" t="s">
        <v>18</v>
      </c>
      <c r="E54" s="2" t="s">
        <v>355</v>
      </c>
      <c r="F54" s="2" t="s">
        <v>361</v>
      </c>
      <c r="G54" s="2" t="s">
        <v>158</v>
      </c>
      <c r="H54" s="1" t="s">
        <v>891</v>
      </c>
    </row>
    <row r="55" spans="1:8">
      <c r="A55" s="2" t="s">
        <v>834</v>
      </c>
      <c r="B55" s="5">
        <v>46202</v>
      </c>
      <c r="C55" s="1" t="s">
        <v>892</v>
      </c>
      <c r="D55" s="2" t="s">
        <v>353</v>
      </c>
      <c r="E55" s="2" t="s">
        <v>355</v>
      </c>
      <c r="F55" s="2" t="s">
        <v>361</v>
      </c>
      <c r="G55" s="2" t="s">
        <v>893</v>
      </c>
      <c r="H55" s="1" t="s">
        <v>894</v>
      </c>
    </row>
    <row r="56" spans="1:8">
      <c r="A56" s="2" t="s">
        <v>835</v>
      </c>
      <c r="B56" s="1"/>
      <c r="C56" s="1"/>
      <c r="D56" s="2"/>
      <c r="E56" s="2"/>
      <c r="F56" s="2"/>
      <c r="G56" s="2"/>
      <c r="H56" s="1"/>
    </row>
    <row r="57" spans="1:8">
      <c r="A57" s="2" t="s">
        <v>836</v>
      </c>
      <c r="B57" s="1"/>
      <c r="C57" s="1"/>
      <c r="D57" s="2"/>
      <c r="E57" s="2"/>
      <c r="F57" s="2"/>
      <c r="G57" s="2"/>
      <c r="H57" s="1"/>
    </row>
    <row r="58" spans="1:8">
      <c r="A58" s="2" t="s">
        <v>837</v>
      </c>
      <c r="B58" s="1"/>
      <c r="C58" s="1"/>
      <c r="D58" s="2"/>
      <c r="E58" s="2"/>
      <c r="F58" s="2"/>
      <c r="G58" s="2"/>
      <c r="H58" s="1"/>
    </row>
    <row r="59" spans="1:8">
      <c r="A59" s="2" t="s">
        <v>838</v>
      </c>
      <c r="B59" s="1"/>
      <c r="C59" s="1"/>
      <c r="D59" s="2"/>
      <c r="E59" s="2"/>
      <c r="F59" s="2"/>
      <c r="G59" s="2"/>
      <c r="H59" s="1"/>
    </row>
    <row r="60" spans="1:8">
      <c r="A60" s="2" t="s">
        <v>839</v>
      </c>
      <c r="B60" s="1"/>
      <c r="C60" s="1"/>
      <c r="D60" s="2"/>
      <c r="E60" s="2"/>
      <c r="F60" s="2"/>
      <c r="G60" s="2"/>
      <c r="H60" s="1"/>
    </row>
    <row r="61" spans="1:8">
      <c r="A61" s="2" t="s">
        <v>840</v>
      </c>
      <c r="B61" s="1"/>
      <c r="C61" s="1"/>
      <c r="D61" s="2"/>
      <c r="E61" s="2"/>
      <c r="F61" s="2"/>
      <c r="G61" s="2"/>
      <c r="H61" s="1"/>
    </row>
    <row r="62" spans="1:8">
      <c r="A62" s="2" t="s">
        <v>841</v>
      </c>
      <c r="B62" s="1"/>
      <c r="C62" s="1"/>
      <c r="D62" s="2"/>
      <c r="E62" s="2"/>
      <c r="F62" s="2"/>
      <c r="G62" s="2"/>
      <c r="H62" s="1"/>
    </row>
    <row r="63" spans="1:8">
      <c r="A63" s="2" t="s">
        <v>842</v>
      </c>
      <c r="B63" s="1"/>
      <c r="C63" s="1"/>
      <c r="D63" s="2"/>
      <c r="E63" s="2"/>
      <c r="F63" s="2"/>
      <c r="G63" s="2"/>
      <c r="H63" s="1"/>
    </row>
    <row r="64" spans="1:8">
      <c r="A64" s="2" t="s">
        <v>843</v>
      </c>
      <c r="B64" s="1"/>
      <c r="C64" s="1"/>
      <c r="D64" s="2"/>
      <c r="E64" s="2"/>
      <c r="F64" s="2"/>
      <c r="G64" s="2"/>
      <c r="H64" s="1"/>
    </row>
    <row r="65" spans="1:8">
      <c r="A65" s="2" t="s">
        <v>844</v>
      </c>
      <c r="B65" s="1"/>
      <c r="C65" s="1"/>
      <c r="D65" s="2"/>
      <c r="E65" s="2"/>
      <c r="F65" s="2"/>
      <c r="G65" s="2"/>
      <c r="H65" s="1"/>
    </row>
    <row r="66" spans="1:8">
      <c r="A66" s="2" t="s">
        <v>845</v>
      </c>
      <c r="B66" s="1"/>
      <c r="C66" s="1"/>
      <c r="D66" s="2"/>
      <c r="E66" s="2"/>
      <c r="F66" s="2"/>
      <c r="G66" s="2"/>
      <c r="H66" s="1"/>
    </row>
    <row r="67" spans="1:8">
      <c r="A67" s="2" t="s">
        <v>846</v>
      </c>
      <c r="B67" s="1"/>
      <c r="C67" s="1"/>
      <c r="D67" s="2"/>
      <c r="E67" s="2"/>
      <c r="F67" s="2"/>
      <c r="G67" s="2"/>
      <c r="H67" s="1"/>
    </row>
    <row r="68" spans="1:8">
      <c r="A68" s="2" t="s">
        <v>847</v>
      </c>
      <c r="B68" s="1"/>
      <c r="C68" s="1"/>
      <c r="D68" s="2"/>
      <c r="E68" s="2"/>
      <c r="F68" s="2"/>
      <c r="G68" s="2"/>
      <c r="H68" s="1"/>
    </row>
    <row r="69" spans="1:8">
      <c r="A69" s="2" t="s">
        <v>848</v>
      </c>
      <c r="D69" s="26"/>
      <c r="E69" s="26"/>
    </row>
    <row r="70" spans="1:8">
      <c r="A70" s="2" t="s">
        <v>849</v>
      </c>
      <c r="D70" s="26"/>
      <c r="E70" s="26"/>
    </row>
    <row r="71" spans="1:8">
      <c r="A71" s="2" t="s">
        <v>850</v>
      </c>
      <c r="D71" s="26"/>
      <c r="E71" s="26"/>
    </row>
    <row r="72" spans="1:8">
      <c r="A72" s="2" t="s">
        <v>851</v>
      </c>
      <c r="D72" s="26"/>
      <c r="E72" s="26"/>
    </row>
    <row r="73" spans="1:8">
      <c r="A73" s="2" t="s">
        <v>852</v>
      </c>
      <c r="D73" s="26"/>
      <c r="E73" s="26"/>
    </row>
    <row r="74" spans="1:8">
      <c r="A74" s="2" t="s">
        <v>853</v>
      </c>
      <c r="D74" s="26"/>
      <c r="E74" s="26"/>
    </row>
    <row r="75" spans="1:8">
      <c r="A75" s="2" t="s">
        <v>854</v>
      </c>
      <c r="D75" s="26"/>
      <c r="E75" s="26"/>
    </row>
    <row r="76" spans="1:8">
      <c r="A76" s="2" t="s">
        <v>855</v>
      </c>
      <c r="D76" s="26"/>
      <c r="E76" s="26"/>
    </row>
    <row r="77" spans="1:8">
      <c r="A77" s="2" t="s">
        <v>856</v>
      </c>
      <c r="D77" s="26"/>
      <c r="E77" s="26"/>
    </row>
    <row r="78" spans="1:8">
      <c r="A78" s="2" t="s">
        <v>857</v>
      </c>
      <c r="D78" s="26"/>
      <c r="E78" s="26"/>
    </row>
    <row r="79" spans="1:8">
      <c r="A79" s="2" t="s">
        <v>858</v>
      </c>
      <c r="D79" s="26"/>
      <c r="E79" s="26"/>
    </row>
    <row r="80" spans="1:8">
      <c r="D80" s="26"/>
      <c r="E80" s="26"/>
    </row>
    <row r="81" spans="4:5">
      <c r="D81" s="26"/>
      <c r="E81" s="26"/>
    </row>
    <row r="82" spans="4:5">
      <c r="D82" s="26"/>
      <c r="E82" s="26"/>
    </row>
    <row r="83" spans="4:5">
      <c r="D83" s="26"/>
      <c r="E83" s="26"/>
    </row>
    <row r="84" spans="4:5">
      <c r="D84" s="26"/>
      <c r="E84" s="26"/>
    </row>
    <row r="85" spans="4:5">
      <c r="D85" s="26"/>
      <c r="E85" s="26"/>
    </row>
    <row r="86" spans="4:5">
      <c r="D86" s="26"/>
      <c r="E86" s="26"/>
    </row>
    <row r="87" spans="4:5">
      <c r="D87" s="26"/>
      <c r="E87" s="26"/>
    </row>
    <row r="88" spans="4:5">
      <c r="D88" s="26"/>
      <c r="E88" s="26"/>
    </row>
    <row r="89" spans="4:5">
      <c r="D89" s="26"/>
      <c r="E89" s="26"/>
    </row>
    <row r="90" spans="4:5">
      <c r="D90" s="26"/>
      <c r="E90" s="26"/>
    </row>
    <row r="91" spans="4:5">
      <c r="D91" s="26"/>
      <c r="E91" s="26"/>
    </row>
    <row r="92" spans="4:5">
      <c r="D92" s="26"/>
      <c r="E92" s="26"/>
    </row>
    <row r="93" spans="4:5">
      <c r="D93" s="26"/>
      <c r="E93" s="26"/>
    </row>
    <row r="94" spans="4:5">
      <c r="D94" s="26"/>
      <c r="E94" s="26"/>
    </row>
    <row r="95" spans="4:5">
      <c r="D95" s="26"/>
      <c r="E95" s="26"/>
    </row>
    <row r="96" spans="4:5">
      <c r="D96" s="26"/>
      <c r="E96" s="26"/>
    </row>
    <row r="97" spans="4:5">
      <c r="D97" s="26"/>
      <c r="E97" s="26"/>
    </row>
    <row r="98" spans="4:5">
      <c r="D98" s="26"/>
      <c r="E98" s="26"/>
    </row>
    <row r="99" spans="4:5">
      <c r="D99" s="26"/>
      <c r="E99" s="26"/>
    </row>
    <row r="100" spans="4:5">
      <c r="D100" s="26"/>
      <c r="E100" s="26"/>
    </row>
    <row r="101" spans="4:5">
      <c r="D101" s="26"/>
      <c r="E101" s="26"/>
    </row>
    <row r="102" spans="4:5">
      <c r="D102" s="26"/>
      <c r="E102" s="26"/>
    </row>
    <row r="103" spans="4:5">
      <c r="D103" s="26"/>
      <c r="E103" s="26"/>
    </row>
    <row r="104" spans="4:5">
      <c r="D104" s="26"/>
      <c r="E104" s="26"/>
    </row>
    <row r="105" spans="4:5">
      <c r="D105" s="26"/>
      <c r="E105" s="26"/>
    </row>
    <row r="106" spans="4:5">
      <c r="D106" s="26"/>
      <c r="E106" s="26"/>
    </row>
    <row r="107" spans="4:5">
      <c r="D107" s="26"/>
      <c r="E107" s="26"/>
    </row>
    <row r="108" spans="4:5">
      <c r="D108" s="26"/>
      <c r="E108" s="26"/>
    </row>
    <row r="109" spans="4:5">
      <c r="D109" s="26"/>
      <c r="E109" s="26"/>
    </row>
    <row r="110" spans="4:5">
      <c r="D110" s="26"/>
      <c r="E110" s="26"/>
    </row>
    <row r="111" spans="4:5">
      <c r="D111" s="26"/>
      <c r="E111" s="26"/>
    </row>
    <row r="112" spans="4:5">
      <c r="D112" s="26"/>
      <c r="E112" s="26"/>
    </row>
    <row r="113" spans="4:5">
      <c r="D113" s="26"/>
      <c r="E113" s="26"/>
    </row>
    <row r="114" spans="4:5">
      <c r="D114" s="26"/>
      <c r="E114" s="26"/>
    </row>
    <row r="115" spans="4:5">
      <c r="D115" s="26"/>
      <c r="E115" s="26"/>
    </row>
    <row r="116" spans="4:5">
      <c r="D116" s="26"/>
      <c r="E116" s="26"/>
    </row>
    <row r="117" spans="4:5">
      <c r="D117" s="26"/>
      <c r="E117" s="26"/>
    </row>
    <row r="118" spans="4:5">
      <c r="D118" s="26"/>
      <c r="E118" s="26"/>
    </row>
    <row r="119" spans="4:5">
      <c r="D119" s="26"/>
      <c r="E119" s="26"/>
    </row>
    <row r="120" spans="4:5">
      <c r="D120" s="26"/>
      <c r="E120" s="26"/>
    </row>
    <row r="121" spans="4:5">
      <c r="D121" s="26"/>
      <c r="E121" s="26"/>
    </row>
    <row r="122" spans="4:5">
      <c r="D122" s="26"/>
      <c r="E122" s="26"/>
    </row>
    <row r="123" spans="4:5">
      <c r="D123" s="26"/>
      <c r="E123" s="26"/>
    </row>
    <row r="124" spans="4:5">
      <c r="D124" s="26"/>
      <c r="E124" s="26"/>
    </row>
    <row r="125" spans="4:5">
      <c r="D125" s="26"/>
      <c r="E125" s="26"/>
    </row>
    <row r="126" spans="4:5">
      <c r="D126" s="26"/>
      <c r="E126" s="26"/>
    </row>
    <row r="127" spans="4:5">
      <c r="D127" s="26"/>
      <c r="E127" s="26"/>
    </row>
    <row r="128" spans="4:5">
      <c r="D128" s="26"/>
      <c r="E128" s="26"/>
    </row>
    <row r="129" spans="4:5">
      <c r="D129" s="26"/>
      <c r="E129" s="26"/>
    </row>
    <row r="130" spans="4:5">
      <c r="D130" s="26"/>
      <c r="E130" s="26"/>
    </row>
    <row r="131" spans="4:5">
      <c r="D131" s="26"/>
      <c r="E131" s="26"/>
    </row>
    <row r="132" spans="4:5">
      <c r="D132" s="26"/>
      <c r="E132" s="26"/>
    </row>
    <row r="133" spans="4:5">
      <c r="D133" s="26"/>
      <c r="E133" s="26"/>
    </row>
    <row r="134" spans="4:5">
      <c r="D134" s="26"/>
      <c r="E134" s="26"/>
    </row>
    <row r="135" spans="4:5">
      <c r="D135" s="26"/>
      <c r="E135" s="26"/>
    </row>
    <row r="136" spans="4:5">
      <c r="D136" s="26"/>
      <c r="E136" s="26"/>
    </row>
    <row r="137" spans="4:5">
      <c r="D137" s="26"/>
      <c r="E137" s="26"/>
    </row>
    <row r="138" spans="4:5">
      <c r="D138" s="26"/>
      <c r="E138" s="26"/>
    </row>
    <row r="139" spans="4:5">
      <c r="D139" s="26"/>
      <c r="E139" s="26"/>
    </row>
    <row r="140" spans="4:5">
      <c r="D140" s="26"/>
      <c r="E140" s="26"/>
    </row>
    <row r="141" spans="4:5">
      <c r="D141" s="26"/>
      <c r="E141" s="26"/>
    </row>
    <row r="142" spans="4:5">
      <c r="D142" s="26"/>
      <c r="E142" s="26"/>
    </row>
    <row r="143" spans="4:5">
      <c r="D143" s="26"/>
      <c r="E143" s="26"/>
    </row>
    <row r="144" spans="4:5">
      <c r="D144" s="26"/>
      <c r="E144" s="26"/>
    </row>
    <row r="145" spans="4:5">
      <c r="D145" s="26"/>
      <c r="E145" s="26"/>
    </row>
    <row r="146" spans="4:5">
      <c r="D146" s="26"/>
      <c r="E146" s="26"/>
    </row>
    <row r="147" spans="4:5">
      <c r="D147" s="26"/>
      <c r="E147" s="26"/>
    </row>
    <row r="148" spans="4:5">
      <c r="D148" s="26"/>
      <c r="E148" s="26"/>
    </row>
    <row r="149" spans="4:5">
      <c r="D149" s="26"/>
      <c r="E149" s="26"/>
    </row>
    <row r="150" spans="4:5">
      <c r="D150" s="26"/>
      <c r="E150" s="26"/>
    </row>
    <row r="151" spans="4:5">
      <c r="D151" s="26"/>
      <c r="E151" s="26"/>
    </row>
    <row r="152" spans="4:5">
      <c r="D152" s="26"/>
      <c r="E152" s="26"/>
    </row>
    <row r="153" spans="4:5">
      <c r="D153" s="26"/>
      <c r="E153" s="26"/>
    </row>
    <row r="154" spans="4:5">
      <c r="D154" s="26"/>
      <c r="E154" s="26"/>
    </row>
    <row r="155" spans="4:5">
      <c r="D155" s="26"/>
      <c r="E155" s="26"/>
    </row>
    <row r="156" spans="4:5">
      <c r="D156" s="26"/>
      <c r="E156" s="26"/>
    </row>
    <row r="157" spans="4:5">
      <c r="D157" s="26"/>
      <c r="E157" s="26"/>
    </row>
    <row r="158" spans="4:5">
      <c r="D158" s="26"/>
      <c r="E158" s="26"/>
    </row>
    <row r="159" spans="4:5">
      <c r="D159" s="26"/>
      <c r="E159" s="26"/>
    </row>
    <row r="160" spans="4:5">
      <c r="D160" s="26"/>
      <c r="E160" s="26"/>
    </row>
    <row r="161" spans="4:5">
      <c r="D161" s="26"/>
      <c r="E161" s="26"/>
    </row>
    <row r="162" spans="4:5">
      <c r="D162" s="26"/>
      <c r="E162" s="26"/>
    </row>
    <row r="163" spans="4:5">
      <c r="D163" s="26"/>
      <c r="E163" s="26"/>
    </row>
    <row r="164" spans="4:5">
      <c r="D164" s="26"/>
      <c r="E164" s="26"/>
    </row>
    <row r="165" spans="4:5">
      <c r="D165" s="26"/>
      <c r="E165" s="26"/>
    </row>
    <row r="166" spans="4:5">
      <c r="D166" s="26"/>
      <c r="E166" s="26"/>
    </row>
    <row r="167" spans="4:5">
      <c r="D167" s="26"/>
      <c r="E167" s="26"/>
    </row>
    <row r="168" spans="4:5">
      <c r="D168" s="26"/>
      <c r="E168" s="26"/>
    </row>
    <row r="169" spans="4:5">
      <c r="D169" s="26"/>
      <c r="E169" s="26"/>
    </row>
    <row r="170" spans="4:5">
      <c r="D170" s="26"/>
      <c r="E170" s="26"/>
    </row>
    <row r="171" spans="4:5">
      <c r="D171" s="26"/>
      <c r="E171" s="26"/>
    </row>
    <row r="172" spans="4:5">
      <c r="D172" s="26"/>
      <c r="E172" s="26"/>
    </row>
    <row r="173" spans="4:5">
      <c r="D173" s="26"/>
      <c r="E173" s="26"/>
    </row>
    <row r="174" spans="4:5">
      <c r="D174" s="26"/>
      <c r="E174" s="26"/>
    </row>
    <row r="175" spans="4:5">
      <c r="D175" s="26"/>
      <c r="E175" s="26"/>
    </row>
    <row r="176" spans="4:5">
      <c r="D176" s="26"/>
      <c r="E176" s="26"/>
    </row>
    <row r="177" spans="4:5">
      <c r="D177" s="26"/>
      <c r="E177" s="26"/>
    </row>
    <row r="178" spans="4:5">
      <c r="D178" s="26"/>
      <c r="E178" s="26"/>
    </row>
    <row r="179" spans="4:5">
      <c r="D179" s="26"/>
      <c r="E179" s="26"/>
    </row>
    <row r="180" spans="4:5">
      <c r="D180" s="26"/>
      <c r="E180" s="26"/>
    </row>
    <row r="181" spans="4:5">
      <c r="D181" s="26"/>
      <c r="E181" s="26"/>
    </row>
    <row r="182" spans="4:5">
      <c r="D182" s="26"/>
      <c r="E182" s="26"/>
    </row>
    <row r="183" spans="4:5">
      <c r="D183" s="26"/>
      <c r="E183" s="26"/>
    </row>
    <row r="184" spans="4:5">
      <c r="D184" s="26"/>
      <c r="E184" s="26"/>
    </row>
    <row r="185" spans="4:5">
      <c r="D185" s="26"/>
      <c r="E185" s="26"/>
    </row>
    <row r="186" spans="4:5">
      <c r="D186" s="26"/>
      <c r="E186" s="26"/>
    </row>
    <row r="187" spans="4:5">
      <c r="D187" s="26"/>
      <c r="E187" s="26"/>
    </row>
    <row r="188" spans="4:5">
      <c r="D188" s="26"/>
      <c r="E188" s="26"/>
    </row>
    <row r="189" spans="4:5">
      <c r="D189" s="26"/>
      <c r="E189" s="26"/>
    </row>
    <row r="190" spans="4:5">
      <c r="D190" s="26"/>
      <c r="E190" s="26"/>
    </row>
    <row r="191" spans="4:5">
      <c r="D191" s="26"/>
      <c r="E191" s="26"/>
    </row>
    <row r="192" spans="4:5">
      <c r="D192" s="26"/>
      <c r="E192" s="26"/>
    </row>
    <row r="193" spans="4:5">
      <c r="D193" s="26"/>
      <c r="E193" s="26"/>
    </row>
    <row r="194" spans="4:5">
      <c r="D194" s="26"/>
      <c r="E194" s="26"/>
    </row>
    <row r="195" spans="4:5">
      <c r="D195" s="26"/>
      <c r="E195" s="26"/>
    </row>
    <row r="196" spans="4:5">
      <c r="D196" s="26"/>
      <c r="E196" s="26"/>
    </row>
    <row r="197" spans="4:5">
      <c r="D197" s="26"/>
      <c r="E197" s="26"/>
    </row>
    <row r="198" spans="4:5">
      <c r="D198" s="26"/>
      <c r="E198" s="26"/>
    </row>
    <row r="199" spans="4:5">
      <c r="D199" s="26"/>
      <c r="E199" s="26"/>
    </row>
    <row r="200" spans="4:5">
      <c r="D200" s="26"/>
      <c r="E200" s="26"/>
    </row>
    <row r="201" spans="4:5">
      <c r="D201" s="26"/>
      <c r="E201" s="26"/>
    </row>
    <row r="202" spans="4:5">
      <c r="D202" s="26"/>
      <c r="E202" s="26"/>
    </row>
    <row r="203" spans="4:5">
      <c r="D203" s="26"/>
      <c r="E203" s="26"/>
    </row>
    <row r="204" spans="4:5">
      <c r="D204" s="26"/>
      <c r="E204" s="26"/>
    </row>
    <row r="205" spans="4:5">
      <c r="D205" s="26"/>
      <c r="E205" s="26"/>
    </row>
    <row r="206" spans="4:5">
      <c r="D206" s="26"/>
      <c r="E206" s="26"/>
    </row>
    <row r="207" spans="4:5">
      <c r="D207" s="26"/>
      <c r="E207" s="26"/>
    </row>
    <row r="208" spans="4:5">
      <c r="D208" s="26"/>
      <c r="E208" s="26"/>
    </row>
    <row r="209" spans="4:5">
      <c r="D209" s="26"/>
      <c r="E209" s="26"/>
    </row>
    <row r="210" spans="4:5">
      <c r="D210" s="26"/>
      <c r="E210" s="26"/>
    </row>
    <row r="211" spans="4:5">
      <c r="D211" s="26"/>
      <c r="E211" s="26"/>
    </row>
    <row r="212" spans="4:5">
      <c r="D212" s="26"/>
      <c r="E212" s="26"/>
    </row>
    <row r="213" spans="4:5">
      <c r="D213" s="26"/>
      <c r="E213" s="26"/>
    </row>
    <row r="214" spans="4:5">
      <c r="D214" s="26"/>
      <c r="E214" s="26"/>
    </row>
    <row r="215" spans="4:5">
      <c r="D215" s="26"/>
      <c r="E215" s="26"/>
    </row>
    <row r="216" spans="4:5">
      <c r="D216" s="26"/>
      <c r="E216" s="26"/>
    </row>
    <row r="217" spans="4:5">
      <c r="D217" s="26"/>
      <c r="E217" s="26"/>
    </row>
    <row r="218" spans="4:5">
      <c r="D218" s="26"/>
      <c r="E218" s="26"/>
    </row>
    <row r="219" spans="4:5">
      <c r="D219" s="26"/>
      <c r="E219" s="26"/>
    </row>
    <row r="220" spans="4:5">
      <c r="D220" s="26"/>
      <c r="E220" s="26"/>
    </row>
    <row r="221" spans="4:5">
      <c r="D221" s="26"/>
      <c r="E221" s="26"/>
    </row>
    <row r="222" spans="4:5">
      <c r="D222" s="26"/>
      <c r="E222" s="26"/>
    </row>
    <row r="223" spans="4:5">
      <c r="D223" s="26"/>
      <c r="E223" s="26"/>
    </row>
    <row r="224" spans="4:5">
      <c r="D224" s="26"/>
      <c r="E224" s="26"/>
    </row>
    <row r="225" spans="4:5">
      <c r="D225" s="26"/>
      <c r="E225" s="26"/>
    </row>
    <row r="226" spans="4:5">
      <c r="D226" s="26"/>
      <c r="E226" s="26"/>
    </row>
    <row r="227" spans="4:5">
      <c r="D227" s="26"/>
      <c r="E227" s="26"/>
    </row>
    <row r="228" spans="4:5">
      <c r="D228" s="26"/>
      <c r="E228" s="26"/>
    </row>
    <row r="229" spans="4:5">
      <c r="D229" s="26"/>
      <c r="E229" s="26"/>
    </row>
    <row r="230" spans="4:5">
      <c r="D230" s="26"/>
      <c r="E230" s="26"/>
    </row>
    <row r="231" spans="4:5">
      <c r="D231" s="26"/>
      <c r="E231" s="26"/>
    </row>
    <row r="232" spans="4:5">
      <c r="D232" s="26"/>
      <c r="E232" s="26"/>
    </row>
    <row r="233" spans="4:5">
      <c r="D233" s="26"/>
      <c r="E233" s="26"/>
    </row>
    <row r="234" spans="4:5">
      <c r="D234" s="26"/>
      <c r="E234" s="26"/>
    </row>
    <row r="235" spans="4:5">
      <c r="D235" s="26"/>
      <c r="E235" s="26"/>
    </row>
    <row r="236" spans="4:5">
      <c r="D236" s="26"/>
      <c r="E236" s="26"/>
    </row>
  </sheetData>
  <conditionalFormatting sqref="D2">
    <cfRule type="cellIs" dxfId="15" priority="25" operator="equal">
      <formula>"red"</formula>
    </cfRule>
    <cfRule type="beginsWith" dxfId="14" priority="28" operator="beginsWith" text="1">
      <formula>LEFT(D2,LEN("1"))="1"</formula>
    </cfRule>
  </conditionalFormatting>
  <conditionalFormatting sqref="D2:D5">
    <cfRule type="expression" dxfId="13" priority="21">
      <formula>D4</formula>
    </cfRule>
    <cfRule type="expression" dxfId="12" priority="22">
      <formula>D3</formula>
    </cfRule>
    <cfRule type="expression" dxfId="11" priority="23">
      <formula>D2</formula>
    </cfRule>
    <cfRule type="cellIs" priority="26" operator="equal">
      <formula>"red"</formula>
    </cfRule>
  </conditionalFormatting>
  <conditionalFormatting sqref="D2:D14">
    <cfRule type="cellIs" dxfId="10" priority="24" operator="equal">
      <formula>"Red"</formula>
    </cfRule>
  </conditionalFormatting>
  <conditionalFormatting sqref="D2:D27 D30:D236">
    <cfRule type="colorScale" priority="27">
      <colorScale>
        <cfvo type="min"/>
        <cfvo type="max"/>
        <color rgb="FFFF0000"/>
        <color rgb="FFFFEF9C"/>
      </colorScale>
    </cfRule>
  </conditionalFormatting>
  <conditionalFormatting sqref="D2:D236">
    <cfRule type="containsText" dxfId="9" priority="18" operator="containsText" text="Low">
      <formula>NOT(ISERROR(SEARCH("Low",D2)))</formula>
    </cfRule>
    <cfRule type="containsText" dxfId="8" priority="19" operator="containsText" text="Medium">
      <formula>NOT(ISERROR(SEARCH("Medium",D2)))</formula>
    </cfRule>
    <cfRule type="containsText" dxfId="7" priority="20" operator="containsText" text="High">
      <formula>NOT(ISERROR(SEARCH("High",D2)))</formula>
    </cfRule>
  </conditionalFormatting>
  <conditionalFormatting sqref="D28:D29">
    <cfRule type="colorScale" priority="64">
      <colorScale>
        <cfvo type="min"/>
        <cfvo type="max"/>
        <color rgb="FFFF0000"/>
        <color rgb="FFFFEF9C"/>
      </colorScale>
    </cfRule>
  </conditionalFormatting>
  <conditionalFormatting sqref="E2:E236">
    <cfRule type="containsText" dxfId="6" priority="11" operator="containsText" text="Closed">
      <formula>NOT(ISERROR(SEARCH("Closed",E2)))</formula>
    </cfRule>
    <cfRule type="containsText" dxfId="5" priority="12" operator="containsText" text="Open">
      <formula>NOT(ISERROR(SEARCH("Open",E2)))</formula>
    </cfRule>
    <cfRule type="containsText" dxfId="4" priority="13" operator="containsText" text="Open">
      <formula>NOT(ISERROR(SEARCH("Open",E2)))</formula>
    </cfRule>
    <cfRule type="containsText" dxfId="3" priority="14" operator="containsText" text="Hold">
      <formula>NOT(ISERROR(SEARCH("Hold",E2)))</formula>
    </cfRule>
    <cfRule type="containsText" dxfId="2" priority="16" operator="containsText" text="Closed">
      <formula>NOT(ISERROR(SEARCH("Closed",E2)))</formula>
    </cfRule>
    <cfRule type="containsText" dxfId="1" priority="17" operator="containsText" text="Open">
      <formula>NOT(ISERROR(SEARCH("Open",E2)))</formula>
    </cfRule>
  </conditionalFormatting>
  <conditionalFormatting sqref="E11">
    <cfRule type="containsText" dxfId="0" priority="15" operator="containsText" text="Hold">
      <formula>NOT(ISERROR(SEARCH("Hold",E11)))</formula>
    </cfRule>
  </conditionalFormatting>
  <pageMargins left="0.75" right="0.75" top="1" bottom="1" header="0.5" footer="0.5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tabColor rgb="FF7030A0"/>
  </sheetPr>
  <dimension ref="A1:Q44"/>
  <sheetViews>
    <sheetView workbookViewId="0">
      <selection activeCell="H9" sqref="H8:H9"/>
    </sheetView>
  </sheetViews>
  <sheetFormatPr defaultRowHeight="14.4"/>
  <cols>
    <col min="1" max="1" width="10.109375" bestFit="1" customWidth="1"/>
    <col min="2" max="2" width="10.33203125" bestFit="1" customWidth="1"/>
    <col min="5" max="5" width="35" bestFit="1" customWidth="1"/>
  </cols>
  <sheetData>
    <row r="1" spans="1:17">
      <c r="A1" s="18" t="s">
        <v>394</v>
      </c>
      <c r="B1" s="18" t="s">
        <v>24</v>
      </c>
      <c r="C1" s="18" t="s">
        <v>395</v>
      </c>
      <c r="D1" s="18" t="s">
        <v>11</v>
      </c>
      <c r="E1" s="18" t="s">
        <v>396</v>
      </c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7">
      <c r="A2" s="11" t="s">
        <v>706</v>
      </c>
      <c r="B2" s="29">
        <v>46197</v>
      </c>
      <c r="C2" s="11" t="s">
        <v>707</v>
      </c>
      <c r="D2" s="11" t="s">
        <v>708</v>
      </c>
      <c r="E2" s="11" t="s">
        <v>709</v>
      </c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</row>
    <row r="3" spans="1:17">
      <c r="A3" s="11" t="s">
        <v>710</v>
      </c>
      <c r="B3" s="29">
        <v>46197</v>
      </c>
      <c r="C3" s="11" t="s">
        <v>18</v>
      </c>
      <c r="D3" s="11" t="s">
        <v>711</v>
      </c>
      <c r="E3" s="11" t="s">
        <v>712</v>
      </c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1:17">
      <c r="A4" s="11" t="s">
        <v>714</v>
      </c>
      <c r="B4" s="29">
        <v>46197</v>
      </c>
      <c r="C4" s="11" t="s">
        <v>18</v>
      </c>
      <c r="D4" s="11" t="s">
        <v>711</v>
      </c>
      <c r="E4" s="11" t="s">
        <v>713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1:17">
      <c r="A5" s="11"/>
      <c r="B5" s="13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7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</row>
    <row r="7" spans="1:17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</row>
    <row r="8" spans="1:17">
      <c r="A8" s="13"/>
      <c r="B8" s="13"/>
      <c r="C8" s="13"/>
      <c r="D8" s="13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</row>
    <row r="9" spans="1:17">
      <c r="A9" s="13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</row>
    <row r="10" spans="1:17">
      <c r="A10" s="13"/>
      <c r="B10" s="13"/>
      <c r="C10" s="13"/>
      <c r="D10" s="13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</row>
    <row r="11" spans="1:17">
      <c r="A11" s="13"/>
      <c r="B11" s="13"/>
      <c r="C11" s="13"/>
      <c r="D11" s="13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</row>
    <row r="12" spans="1:17">
      <c r="A12" s="13"/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</row>
    <row r="13" spans="1:17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</row>
    <row r="14" spans="1:17">
      <c r="A14" s="13"/>
      <c r="B14" s="13"/>
      <c r="C14" s="13"/>
      <c r="D14" s="13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</row>
    <row r="15" spans="1:17">
      <c r="A15" s="13"/>
      <c r="B15" s="13"/>
      <c r="C15" s="13"/>
      <c r="D15" s="13"/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</row>
    <row r="16" spans="1:17">
      <c r="A16" s="13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</row>
    <row r="17" spans="1:17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</row>
    <row r="18" spans="1:17">
      <c r="A18" s="13"/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  <row r="19" spans="1:17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</row>
    <row r="20" spans="1:17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</row>
    <row r="21" spans="1:17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</row>
    <row r="22" spans="1:17">
      <c r="A22" s="13"/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</row>
    <row r="23" spans="1:17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</row>
    <row r="24" spans="1:17">
      <c r="A24" s="13"/>
      <c r="B24" s="13"/>
      <c r="C24" s="13"/>
      <c r="D24" s="13"/>
      <c r="E24" s="13"/>
      <c r="F24" s="13"/>
      <c r="G24" s="13"/>
      <c r="H24" s="12"/>
      <c r="I24" s="12"/>
      <c r="J24" s="13"/>
      <c r="K24" s="13"/>
      <c r="L24" s="13"/>
      <c r="M24" s="13"/>
      <c r="N24" s="13"/>
      <c r="O24" s="13"/>
      <c r="P24" s="13"/>
      <c r="Q24" s="13"/>
    </row>
    <row r="25" spans="1:17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</row>
    <row r="26" spans="1:17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</row>
    <row r="27" spans="1:17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</row>
    <row r="28" spans="1:17">
      <c r="A28" s="13"/>
      <c r="B28" s="13"/>
      <c r="C28" s="13"/>
      <c r="D28" s="13"/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</row>
    <row r="29" spans="1:17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</row>
    <row r="30" spans="1:17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</row>
    <row r="31" spans="1:17">
      <c r="A31" s="13"/>
      <c r="B31" s="13"/>
      <c r="C31" s="13"/>
      <c r="D31" s="13"/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</row>
    <row r="32" spans="1:17">
      <c r="A32" s="13"/>
      <c r="B32" s="13"/>
      <c r="C32" s="13"/>
      <c r="D32" s="13"/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</row>
    <row r="33" spans="1:17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</row>
    <row r="34" spans="1:17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</row>
    <row r="35" spans="1:17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</row>
    <row r="36" spans="1:17">
      <c r="A36" s="13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17">
      <c r="A37" s="13"/>
      <c r="B37" s="13"/>
      <c r="C37" s="13"/>
      <c r="D37" s="13"/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17">
      <c r="A38" s="13"/>
      <c r="B38" s="13"/>
      <c r="C38" s="13"/>
      <c r="D38" s="13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17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</row>
    <row r="40" spans="1:17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17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17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17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17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</sheetData>
  <dataValidations count="2">
    <dataValidation type="list" allowBlank="1" showInputMessage="1" showErrorMessage="1" sqref="C1" xr:uid="{00000000-0002-0000-0400-000000000000}">
      <formula1>"Critical,High,Medium,Low,"</formula1>
    </dataValidation>
    <dataValidation type="list" allowBlank="1" showInputMessage="1" showErrorMessage="1" sqref="D1" xr:uid="{00000000-0002-0000-0400-000001000000}">
      <formula1>"Up,Down"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tabColor rgb="FFFF5050"/>
  </sheetPr>
  <dimension ref="A1:F4"/>
  <sheetViews>
    <sheetView workbookViewId="0">
      <selection activeCell="D18" sqref="D18"/>
    </sheetView>
  </sheetViews>
  <sheetFormatPr defaultRowHeight="14.4"/>
  <cols>
    <col min="1" max="1" width="13.88671875" customWidth="1"/>
    <col min="2" max="2" width="14" customWidth="1"/>
    <col min="4" max="4" width="15.33203125" customWidth="1"/>
    <col min="5" max="5" width="12.88671875" customWidth="1"/>
    <col min="6" max="6" width="12.33203125" customWidth="1"/>
  </cols>
  <sheetData>
    <row r="1" spans="1:6" ht="28.8">
      <c r="A1" s="24" t="s">
        <v>498</v>
      </c>
      <c r="B1" s="24" t="s">
        <v>8</v>
      </c>
      <c r="C1" s="24" t="s">
        <v>499</v>
      </c>
      <c r="D1" s="24" t="s">
        <v>500</v>
      </c>
      <c r="E1" s="24" t="s">
        <v>501</v>
      </c>
      <c r="F1" s="24" t="s">
        <v>11</v>
      </c>
    </row>
    <row r="2" spans="1:6">
      <c r="A2" s="25" t="s">
        <v>502</v>
      </c>
      <c r="B2" s="25" t="s">
        <v>503</v>
      </c>
      <c r="C2" s="25" t="s">
        <v>504</v>
      </c>
      <c r="D2" s="25" t="s">
        <v>505</v>
      </c>
      <c r="E2" s="25" t="s">
        <v>506</v>
      </c>
      <c r="F2" s="25" t="s">
        <v>17</v>
      </c>
    </row>
    <row r="3" spans="1:6">
      <c r="A3" s="25" t="s">
        <v>507</v>
      </c>
      <c r="B3" s="25" t="s">
        <v>503</v>
      </c>
      <c r="C3" s="25" t="s">
        <v>504</v>
      </c>
      <c r="D3" s="25" t="s">
        <v>508</v>
      </c>
      <c r="E3" s="25" t="s">
        <v>509</v>
      </c>
      <c r="F3" s="25" t="s">
        <v>17</v>
      </c>
    </row>
    <row r="4" spans="1:6">
      <c r="A4" s="25" t="s">
        <v>510</v>
      </c>
      <c r="B4" s="25" t="s">
        <v>503</v>
      </c>
      <c r="C4" s="25" t="s">
        <v>511</v>
      </c>
      <c r="D4" s="25" t="s">
        <v>505</v>
      </c>
      <c r="E4" s="25" t="s">
        <v>512</v>
      </c>
      <c r="F4" s="25" t="s">
        <v>17</v>
      </c>
    </row>
  </sheetData>
  <sheetProtection algorithmName="SHA-512" hashValue="duq5JksFFgySbVEEfkA8k6so5xsk9K4Hg1NnJ7zFG2pLL1rZ8dd6RSZQKWSxHVU3AjfCHnD3UQaE4BiutIbbcw==" saltValue="bC8ohNCnsCigut61zNZiQw==" spinCount="100000" sheet="1" objects="1" scenarios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tabColor theme="5" tint="-0.499984740745262"/>
  </sheetPr>
  <dimension ref="A1:O108"/>
  <sheetViews>
    <sheetView topLeftCell="A2" workbookViewId="0">
      <pane ySplit="2" topLeftCell="A4" activePane="bottomLeft" state="frozen"/>
      <selection activeCell="A2" sqref="A2"/>
      <selection pane="bottomLeft" activeCell="C5" sqref="C5"/>
    </sheetView>
  </sheetViews>
  <sheetFormatPr defaultRowHeight="14.4"/>
  <cols>
    <col min="1" max="1" width="14" bestFit="1" customWidth="1"/>
    <col min="2" max="2" width="10.33203125" customWidth="1"/>
    <col min="3" max="3" width="28.33203125" style="46" bestFit="1" customWidth="1"/>
    <col min="4" max="4" width="10.88671875" bestFit="1" customWidth="1"/>
    <col min="5" max="5" width="7" bestFit="1" customWidth="1"/>
    <col min="6" max="6" width="15.5546875" bestFit="1" customWidth="1"/>
    <col min="7" max="7" width="15.5546875" customWidth="1"/>
    <col min="8" max="8" width="22.33203125" bestFit="1" customWidth="1"/>
    <col min="9" max="9" width="20.109375" bestFit="1" customWidth="1"/>
    <col min="10" max="10" width="37.6640625" bestFit="1" customWidth="1"/>
    <col min="11" max="11" width="14.88671875" bestFit="1" customWidth="1"/>
    <col min="12" max="12" width="8.6640625" bestFit="1" customWidth="1"/>
    <col min="13" max="14" width="13.33203125" bestFit="1" customWidth="1"/>
    <col min="15" max="15" width="14" bestFit="1" customWidth="1"/>
  </cols>
  <sheetData>
    <row r="1" spans="1:15" ht="18" hidden="1" customHeight="1">
      <c r="A1" s="66" t="s">
        <v>513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</row>
    <row r="2" spans="1:15" s="13" customFormat="1" ht="30" customHeight="1">
      <c r="A2" s="27" t="s">
        <v>514</v>
      </c>
      <c r="B2" s="27" t="s">
        <v>870</v>
      </c>
      <c r="C2" s="27" t="s">
        <v>871</v>
      </c>
      <c r="D2" s="27" t="s">
        <v>2</v>
      </c>
      <c r="E2" s="27" t="s">
        <v>515</v>
      </c>
      <c r="F2" s="27" t="s">
        <v>4</v>
      </c>
      <c r="G2" s="27" t="s">
        <v>735</v>
      </c>
      <c r="H2" s="27" t="s">
        <v>516</v>
      </c>
      <c r="I2" s="27" t="s">
        <v>684</v>
      </c>
      <c r="J2" s="27" t="s">
        <v>685</v>
      </c>
      <c r="K2" s="27" t="s">
        <v>686</v>
      </c>
      <c r="L2" s="27" t="s">
        <v>8</v>
      </c>
      <c r="M2" s="27" t="s">
        <v>5</v>
      </c>
      <c r="N2" s="28"/>
      <c r="O2" s="28"/>
    </row>
    <row r="3" spans="1:15">
      <c r="A3" s="67" t="s">
        <v>14</v>
      </c>
      <c r="B3" s="68"/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68"/>
      <c r="O3" s="68"/>
    </row>
    <row r="4" spans="1:15" ht="49.95" customHeight="1">
      <c r="A4" s="43" t="s">
        <v>517</v>
      </c>
      <c r="B4" s="42"/>
      <c r="C4" s="44" t="str">
        <f>"*"&amp;A4&amp;"*"</f>
        <v>*GHY-LAP-0001*</v>
      </c>
      <c r="D4" s="42" t="s">
        <v>14</v>
      </c>
      <c r="E4" s="42" t="s">
        <v>63</v>
      </c>
      <c r="F4" s="42" t="s">
        <v>64</v>
      </c>
      <c r="G4" s="42" t="s">
        <v>432</v>
      </c>
      <c r="H4" s="42" t="s">
        <v>736</v>
      </c>
      <c r="I4" s="42" t="s">
        <v>767</v>
      </c>
      <c r="J4" s="42" t="s">
        <v>774</v>
      </c>
      <c r="K4" s="42"/>
      <c r="L4" s="42" t="s">
        <v>123</v>
      </c>
      <c r="M4" s="42" t="s">
        <v>238</v>
      </c>
      <c r="N4" s="42"/>
      <c r="O4" s="42"/>
    </row>
    <row r="5" spans="1:15" ht="49.95" customHeight="1">
      <c r="A5" s="43" t="s">
        <v>518</v>
      </c>
      <c r="B5" s="42"/>
      <c r="C5" s="44" t="str">
        <f t="shared" ref="C5:C40" si="0">"*"&amp;A5&amp;"*"</f>
        <v>*GHY-LAP-0002*</v>
      </c>
      <c r="D5" s="42" t="s">
        <v>14</v>
      </c>
      <c r="E5" s="42" t="s">
        <v>63</v>
      </c>
      <c r="F5" s="42" t="s">
        <v>64</v>
      </c>
      <c r="G5" s="42" t="s">
        <v>433</v>
      </c>
      <c r="H5" s="42" t="s">
        <v>487</v>
      </c>
      <c r="I5" s="42" t="s">
        <v>768</v>
      </c>
      <c r="J5" s="42" t="s">
        <v>775</v>
      </c>
      <c r="K5" s="42"/>
      <c r="L5" s="42" t="s">
        <v>123</v>
      </c>
      <c r="M5" s="42" t="s">
        <v>393</v>
      </c>
      <c r="N5" s="42"/>
      <c r="O5" s="42"/>
    </row>
    <row r="6" spans="1:15" ht="49.95" customHeight="1">
      <c r="A6" s="43" t="s">
        <v>519</v>
      </c>
      <c r="B6" s="42"/>
      <c r="C6" s="44" t="str">
        <f>"*"&amp;A6&amp;"*"</f>
        <v>*GHY-LAP-0003*</v>
      </c>
      <c r="D6" s="42" t="s">
        <v>14</v>
      </c>
      <c r="E6" s="42" t="s">
        <v>63</v>
      </c>
      <c r="F6" s="42" t="s">
        <v>64</v>
      </c>
      <c r="G6" s="42" t="s">
        <v>434</v>
      </c>
      <c r="H6" s="42" t="s">
        <v>56</v>
      </c>
      <c r="I6" s="42" t="s">
        <v>769</v>
      </c>
      <c r="J6" s="42" t="s">
        <v>776</v>
      </c>
      <c r="K6" s="42"/>
      <c r="L6" s="42" t="s">
        <v>123</v>
      </c>
      <c r="M6" s="42" t="s">
        <v>270</v>
      </c>
      <c r="N6" s="42"/>
      <c r="O6" s="42"/>
    </row>
    <row r="7" spans="1:15" ht="51.6" customHeight="1">
      <c r="A7" s="43" t="s">
        <v>520</v>
      </c>
      <c r="B7" s="42"/>
      <c r="C7" s="44" t="str">
        <f t="shared" si="0"/>
        <v>*GHY-LAP-0004*</v>
      </c>
      <c r="D7" s="42" t="s">
        <v>14</v>
      </c>
      <c r="E7" s="42" t="s">
        <v>63</v>
      </c>
      <c r="F7" s="42" t="s">
        <v>64</v>
      </c>
      <c r="G7" s="42" t="s">
        <v>435</v>
      </c>
      <c r="H7" s="42" t="s">
        <v>737</v>
      </c>
      <c r="I7" s="42" t="s">
        <v>770</v>
      </c>
      <c r="J7" s="42" t="s">
        <v>777</v>
      </c>
      <c r="K7" s="42"/>
      <c r="L7" s="42" t="s">
        <v>123</v>
      </c>
      <c r="M7" s="42" t="s">
        <v>406</v>
      </c>
      <c r="N7" s="42"/>
      <c r="O7" s="42"/>
    </row>
    <row r="8" spans="1:15" ht="52.2" customHeight="1">
      <c r="A8" s="43" t="s">
        <v>521</v>
      </c>
      <c r="B8" s="42"/>
      <c r="C8" s="44" t="str">
        <f t="shared" si="0"/>
        <v>*GHY-LAP-0005*</v>
      </c>
      <c r="D8" s="42" t="s">
        <v>14</v>
      </c>
      <c r="E8" s="42" t="s">
        <v>63</v>
      </c>
      <c r="F8" s="42" t="s">
        <v>64</v>
      </c>
      <c r="G8" s="42" t="s">
        <v>436</v>
      </c>
      <c r="H8" s="42" t="s">
        <v>58</v>
      </c>
      <c r="I8" s="42" t="s">
        <v>771</v>
      </c>
      <c r="J8" s="42" t="s">
        <v>778</v>
      </c>
      <c r="K8" s="42"/>
      <c r="L8" s="42" t="s">
        <v>123</v>
      </c>
      <c r="M8" s="42" t="s">
        <v>558</v>
      </c>
      <c r="N8" s="42"/>
      <c r="O8" s="42"/>
    </row>
    <row r="9" spans="1:15" ht="51.6" customHeight="1">
      <c r="A9" s="43" t="s">
        <v>522</v>
      </c>
      <c r="B9" s="42"/>
      <c r="C9" s="44" t="str">
        <f t="shared" si="0"/>
        <v>*GHY-LAP-0006*</v>
      </c>
      <c r="D9" s="42" t="s">
        <v>14</v>
      </c>
      <c r="E9" s="42" t="s">
        <v>63</v>
      </c>
      <c r="F9" s="42" t="s">
        <v>64</v>
      </c>
      <c r="G9" s="42" t="s">
        <v>437</v>
      </c>
      <c r="H9" s="42" t="s">
        <v>59</v>
      </c>
      <c r="I9" s="42" t="s">
        <v>769</v>
      </c>
      <c r="J9" s="42" t="s">
        <v>779</v>
      </c>
      <c r="K9" s="42"/>
      <c r="L9" s="42" t="s">
        <v>123</v>
      </c>
      <c r="M9" s="42" t="s">
        <v>237</v>
      </c>
      <c r="N9" s="42"/>
      <c r="O9" s="42"/>
    </row>
    <row r="10" spans="1:15" ht="51.6" customHeight="1">
      <c r="A10" s="43" t="s">
        <v>523</v>
      </c>
      <c r="B10" s="42"/>
      <c r="C10" s="44" t="str">
        <f t="shared" si="0"/>
        <v>*GHY-LAP-0007*</v>
      </c>
      <c r="D10" s="42" t="s">
        <v>14</v>
      </c>
      <c r="E10" s="42" t="s">
        <v>63</v>
      </c>
      <c r="F10" s="42" t="s">
        <v>64</v>
      </c>
      <c r="G10" s="42" t="s">
        <v>438</v>
      </c>
      <c r="H10" s="42" t="s">
        <v>60</v>
      </c>
      <c r="I10" s="42" t="s">
        <v>279</v>
      </c>
      <c r="J10" s="42" t="s">
        <v>780</v>
      </c>
      <c r="K10" s="42"/>
      <c r="L10" s="42" t="s">
        <v>123</v>
      </c>
      <c r="M10" s="42" t="s">
        <v>248</v>
      </c>
      <c r="N10" s="42"/>
      <c r="O10" s="42"/>
    </row>
    <row r="11" spans="1:15" ht="51" customHeight="1">
      <c r="A11" s="43" t="s">
        <v>524</v>
      </c>
      <c r="B11" s="42"/>
      <c r="C11" s="44" t="str">
        <f t="shared" si="0"/>
        <v>*GHY-LAP-0008*</v>
      </c>
      <c r="D11" s="42" t="s">
        <v>14</v>
      </c>
      <c r="E11" s="42" t="s">
        <v>63</v>
      </c>
      <c r="F11" s="42" t="s">
        <v>64</v>
      </c>
      <c r="G11" s="42" t="s">
        <v>439</v>
      </c>
      <c r="H11" s="42" t="s">
        <v>738</v>
      </c>
      <c r="I11" s="42" t="s">
        <v>769</v>
      </c>
      <c r="J11" s="42" t="s">
        <v>781</v>
      </c>
      <c r="K11" s="42"/>
      <c r="L11" s="42" t="s">
        <v>123</v>
      </c>
      <c r="M11" s="42" t="s">
        <v>236</v>
      </c>
      <c r="N11" s="42"/>
      <c r="O11" s="42"/>
    </row>
    <row r="12" spans="1:15" ht="49.8" customHeight="1">
      <c r="A12" s="43" t="s">
        <v>525</v>
      </c>
      <c r="B12" s="42"/>
      <c r="C12" s="44" t="str">
        <f t="shared" si="0"/>
        <v>*GHY-LAP-0009*</v>
      </c>
      <c r="D12" s="42" t="s">
        <v>14</v>
      </c>
      <c r="E12" s="42" t="s">
        <v>63</v>
      </c>
      <c r="F12" s="42" t="s">
        <v>64</v>
      </c>
      <c r="G12" s="42" t="s">
        <v>440</v>
      </c>
      <c r="H12" s="42" t="s">
        <v>739</v>
      </c>
      <c r="I12" s="42" t="s">
        <v>135</v>
      </c>
      <c r="J12" s="42" t="s">
        <v>782</v>
      </c>
      <c r="K12" s="42"/>
      <c r="L12" s="42" t="s">
        <v>123</v>
      </c>
      <c r="M12" s="42" t="s">
        <v>392</v>
      </c>
      <c r="N12" s="42"/>
      <c r="O12" s="42"/>
    </row>
    <row r="13" spans="1:15" ht="49.95" customHeight="1">
      <c r="A13" s="43" t="s">
        <v>526</v>
      </c>
      <c r="B13" s="42"/>
      <c r="C13" s="44" t="str">
        <f t="shared" si="0"/>
        <v>*GHY-LAP-0010*</v>
      </c>
      <c r="D13" s="42" t="s">
        <v>14</v>
      </c>
      <c r="E13" s="42" t="s">
        <v>63</v>
      </c>
      <c r="F13" s="42" t="s">
        <v>64</v>
      </c>
      <c r="G13" s="42" t="s">
        <v>441</v>
      </c>
      <c r="H13" s="42" t="s">
        <v>61</v>
      </c>
      <c r="I13" s="42" t="s">
        <v>769</v>
      </c>
      <c r="J13" s="42" t="s">
        <v>781</v>
      </c>
      <c r="K13" s="42"/>
      <c r="L13" s="42" t="s">
        <v>123</v>
      </c>
      <c r="M13" s="42" t="s">
        <v>235</v>
      </c>
      <c r="N13" s="42"/>
      <c r="O13" s="42"/>
    </row>
    <row r="14" spans="1:15" ht="49.95" customHeight="1">
      <c r="A14" s="43" t="s">
        <v>527</v>
      </c>
      <c r="B14" s="42"/>
      <c r="C14" s="44" t="str">
        <f t="shared" si="0"/>
        <v>*GHY-LAP-0011*</v>
      </c>
      <c r="D14" s="42" t="s">
        <v>14</v>
      </c>
      <c r="E14" s="42" t="s">
        <v>63</v>
      </c>
      <c r="F14" s="42" t="s">
        <v>64</v>
      </c>
      <c r="G14" s="42" t="s">
        <v>442</v>
      </c>
      <c r="H14" s="42" t="s">
        <v>694</v>
      </c>
      <c r="I14" s="42" t="s">
        <v>772</v>
      </c>
      <c r="J14" s="42" t="s">
        <v>783</v>
      </c>
      <c r="K14" s="42"/>
      <c r="L14" s="42" t="s">
        <v>123</v>
      </c>
      <c r="M14" s="42" t="s">
        <v>399</v>
      </c>
      <c r="N14" s="42"/>
      <c r="O14" s="42"/>
    </row>
    <row r="15" spans="1:15" ht="49.95" customHeight="1">
      <c r="A15" s="43" t="s">
        <v>528</v>
      </c>
      <c r="B15" s="42"/>
      <c r="C15" s="44" t="str">
        <f t="shared" si="0"/>
        <v>*GHY-LAP-0012*</v>
      </c>
      <c r="D15" s="42" t="s">
        <v>14</v>
      </c>
      <c r="E15" s="42" t="s">
        <v>63</v>
      </c>
      <c r="F15" s="42" t="s">
        <v>64</v>
      </c>
      <c r="G15" s="42" t="s">
        <v>443</v>
      </c>
      <c r="H15" s="42" t="s">
        <v>740</v>
      </c>
      <c r="I15" s="42" t="s">
        <v>769</v>
      </c>
      <c r="J15" s="42" t="s">
        <v>781</v>
      </c>
      <c r="K15" s="42"/>
      <c r="L15" s="42" t="s">
        <v>123</v>
      </c>
      <c r="M15" s="42" t="s">
        <v>234</v>
      </c>
      <c r="N15" s="42"/>
      <c r="O15" s="42"/>
    </row>
    <row r="16" spans="1:15" ht="49.95" customHeight="1">
      <c r="A16" s="43" t="s">
        <v>529</v>
      </c>
      <c r="B16" s="42"/>
      <c r="C16" s="44" t="str">
        <f t="shared" si="0"/>
        <v>*GHY-LAP-0013*</v>
      </c>
      <c r="D16" s="42" t="s">
        <v>14</v>
      </c>
      <c r="E16" s="42" t="s">
        <v>63</v>
      </c>
      <c r="F16" s="42" t="s">
        <v>64</v>
      </c>
      <c r="G16" s="42" t="s">
        <v>444</v>
      </c>
      <c r="H16" s="42" t="s">
        <v>62</v>
      </c>
      <c r="I16" s="42" t="s">
        <v>770</v>
      </c>
      <c r="J16" s="42" t="s">
        <v>784</v>
      </c>
      <c r="K16" s="42"/>
      <c r="L16" s="42" t="s">
        <v>123</v>
      </c>
      <c r="M16" s="42" t="s">
        <v>233</v>
      </c>
      <c r="N16" s="42"/>
      <c r="O16" s="42"/>
    </row>
    <row r="17" spans="1:15" ht="51.6" customHeight="1">
      <c r="A17" s="43" t="s">
        <v>530</v>
      </c>
      <c r="B17" s="42"/>
      <c r="C17" s="44" t="str">
        <f t="shared" si="0"/>
        <v>*GHY-LAP-0014*</v>
      </c>
      <c r="D17" s="42" t="s">
        <v>14</v>
      </c>
      <c r="E17" s="42" t="s">
        <v>15</v>
      </c>
      <c r="F17" s="42" t="s">
        <v>165</v>
      </c>
      <c r="G17" s="42" t="s">
        <v>445</v>
      </c>
      <c r="H17" s="42" t="s">
        <v>741</v>
      </c>
      <c r="I17" s="42" t="s">
        <v>771</v>
      </c>
      <c r="J17" s="42" t="s">
        <v>778</v>
      </c>
      <c r="K17" s="42"/>
      <c r="L17" s="42" t="s">
        <v>123</v>
      </c>
      <c r="M17" s="42" t="s">
        <v>166</v>
      </c>
      <c r="N17" s="42"/>
      <c r="O17" s="42"/>
    </row>
    <row r="18" spans="1:15" ht="49.95" customHeight="1">
      <c r="A18" s="43" t="s">
        <v>531</v>
      </c>
      <c r="B18" s="42"/>
      <c r="C18" s="44" t="str">
        <f t="shared" si="0"/>
        <v>*GHY-LAP-0015*</v>
      </c>
      <c r="D18" s="42" t="s">
        <v>14</v>
      </c>
      <c r="E18" s="42" t="s">
        <v>20</v>
      </c>
      <c r="F18" s="42" t="s">
        <v>404</v>
      </c>
      <c r="G18" s="42" t="s">
        <v>446</v>
      </c>
      <c r="H18" s="42" t="s">
        <v>65</v>
      </c>
      <c r="I18" s="42" t="s">
        <v>279</v>
      </c>
      <c r="J18" s="42" t="s">
        <v>785</v>
      </c>
      <c r="K18" s="42"/>
      <c r="L18" s="42" t="s">
        <v>123</v>
      </c>
      <c r="M18" s="42" t="s">
        <v>554</v>
      </c>
      <c r="N18" s="42" t="s">
        <v>560</v>
      </c>
      <c r="O18" s="42" t="s">
        <v>561</v>
      </c>
    </row>
    <row r="19" spans="1:15" ht="49.95" customHeight="1">
      <c r="A19" s="43" t="s">
        <v>532</v>
      </c>
      <c r="B19" s="42"/>
      <c r="C19" s="44" t="str">
        <f t="shared" si="0"/>
        <v>*GHY-LAP-0016*</v>
      </c>
      <c r="D19" s="42" t="s">
        <v>14</v>
      </c>
      <c r="E19" s="42" t="s">
        <v>15</v>
      </c>
      <c r="F19" s="42" t="s">
        <v>154</v>
      </c>
      <c r="G19" s="42" t="s">
        <v>447</v>
      </c>
      <c r="H19" s="42" t="s">
        <v>742</v>
      </c>
      <c r="I19" s="42" t="s">
        <v>769</v>
      </c>
      <c r="J19" s="42" t="s">
        <v>786</v>
      </c>
      <c r="K19" s="42"/>
      <c r="L19" s="42" t="s">
        <v>123</v>
      </c>
      <c r="M19" s="42" t="s">
        <v>155</v>
      </c>
      <c r="N19" s="42"/>
      <c r="O19" s="42"/>
    </row>
    <row r="20" spans="1:15" ht="49.95" customHeight="1">
      <c r="A20" s="43" t="s">
        <v>533</v>
      </c>
      <c r="B20" s="42"/>
      <c r="C20" s="44" t="str">
        <f t="shared" si="0"/>
        <v>*GHY-LAP-0017*</v>
      </c>
      <c r="D20" s="42" t="s">
        <v>14</v>
      </c>
      <c r="E20" s="42" t="s">
        <v>20</v>
      </c>
      <c r="F20" s="42" t="s">
        <v>492</v>
      </c>
      <c r="G20" s="42" t="s">
        <v>448</v>
      </c>
      <c r="H20" s="42" t="s">
        <v>67</v>
      </c>
      <c r="I20" s="42" t="s">
        <v>279</v>
      </c>
      <c r="J20" s="42" t="s">
        <v>787</v>
      </c>
      <c r="K20" s="42"/>
      <c r="L20" s="42" t="s">
        <v>123</v>
      </c>
      <c r="M20" s="42" t="s">
        <v>249</v>
      </c>
      <c r="N20" s="42" t="s">
        <v>562</v>
      </c>
      <c r="O20" s="42" t="s">
        <v>563</v>
      </c>
    </row>
    <row r="21" spans="1:15" ht="49.95" customHeight="1">
      <c r="A21" s="43" t="s">
        <v>534</v>
      </c>
      <c r="B21" s="42"/>
      <c r="C21" s="44" t="str">
        <f t="shared" si="0"/>
        <v>*GHY-LAP-0018*</v>
      </c>
      <c r="D21" s="42" t="s">
        <v>14</v>
      </c>
      <c r="E21" s="42" t="s">
        <v>20</v>
      </c>
      <c r="F21" s="42" t="s">
        <v>492</v>
      </c>
      <c r="G21" s="42" t="s">
        <v>449</v>
      </c>
      <c r="H21" s="42" t="s">
        <v>68</v>
      </c>
      <c r="I21" s="42" t="s">
        <v>279</v>
      </c>
      <c r="J21" s="42" t="s">
        <v>788</v>
      </c>
      <c r="K21" s="42"/>
      <c r="L21" s="42" t="s">
        <v>123</v>
      </c>
      <c r="M21" s="42" t="s">
        <v>493</v>
      </c>
      <c r="N21" s="42"/>
      <c r="O21" s="42"/>
    </row>
    <row r="22" spans="1:15" ht="49.95" customHeight="1">
      <c r="A22" s="43" t="s">
        <v>535</v>
      </c>
      <c r="B22" s="42"/>
      <c r="C22" s="44" t="str">
        <f t="shared" si="0"/>
        <v>*GHY-LAP-0019*</v>
      </c>
      <c r="D22" s="42" t="s">
        <v>14</v>
      </c>
      <c r="E22" s="42" t="s">
        <v>15</v>
      </c>
      <c r="F22" s="42" t="s">
        <v>564</v>
      </c>
      <c r="G22" s="42" t="s">
        <v>450</v>
      </c>
      <c r="H22" s="42" t="s">
        <v>120</v>
      </c>
      <c r="I22" s="42" t="s">
        <v>16</v>
      </c>
      <c r="J22" s="42" t="s">
        <v>789</v>
      </c>
      <c r="K22" s="42"/>
      <c r="L22" s="42" t="s">
        <v>123</v>
      </c>
      <c r="M22" s="42" t="s">
        <v>271</v>
      </c>
      <c r="N22" s="42" t="s">
        <v>565</v>
      </c>
      <c r="O22" s="42" t="s">
        <v>566</v>
      </c>
    </row>
    <row r="23" spans="1:15" ht="49.95" customHeight="1">
      <c r="A23" s="43" t="s">
        <v>536</v>
      </c>
      <c r="B23" s="42"/>
      <c r="C23" s="44" t="str">
        <f t="shared" si="0"/>
        <v>*GHY-LAP-0020*</v>
      </c>
      <c r="D23" s="42" t="s">
        <v>14</v>
      </c>
      <c r="E23" s="42" t="s">
        <v>15</v>
      </c>
      <c r="F23" s="42" t="s">
        <v>567</v>
      </c>
      <c r="G23" s="42" t="s">
        <v>451</v>
      </c>
      <c r="H23" s="42" t="s">
        <v>743</v>
      </c>
      <c r="I23" s="42" t="s">
        <v>767</v>
      </c>
      <c r="J23" s="42" t="s">
        <v>122</v>
      </c>
      <c r="K23" s="42"/>
      <c r="L23" s="42" t="s">
        <v>123</v>
      </c>
      <c r="M23" s="42" t="s">
        <v>555</v>
      </c>
      <c r="N23" s="42" t="s">
        <v>568</v>
      </c>
      <c r="O23" s="42" t="s">
        <v>569</v>
      </c>
    </row>
    <row r="24" spans="1:15" ht="49.95" customHeight="1">
      <c r="A24" s="43" t="s">
        <v>537</v>
      </c>
      <c r="B24" s="42"/>
      <c r="C24" s="44" t="str">
        <f t="shared" si="0"/>
        <v>*GHY-LAP-0021*</v>
      </c>
      <c r="D24" s="42" t="s">
        <v>14</v>
      </c>
      <c r="E24" s="42" t="s">
        <v>15</v>
      </c>
      <c r="F24" s="42" t="s">
        <v>277</v>
      </c>
      <c r="G24" s="42" t="s">
        <v>453</v>
      </c>
      <c r="H24" s="42" t="s">
        <v>70</v>
      </c>
      <c r="I24" s="42" t="s">
        <v>279</v>
      </c>
      <c r="J24" s="42" t="s">
        <v>790</v>
      </c>
      <c r="K24" s="42"/>
      <c r="L24" s="42" t="s">
        <v>123</v>
      </c>
      <c r="M24" s="42" t="s">
        <v>251</v>
      </c>
      <c r="N24" s="42"/>
      <c r="O24" s="42"/>
    </row>
    <row r="25" spans="1:15" ht="49.95" customHeight="1">
      <c r="A25" s="43" t="s">
        <v>538</v>
      </c>
      <c r="B25" s="42"/>
      <c r="C25" s="44" t="str">
        <f t="shared" si="0"/>
        <v>*GHY-LAP-0022*</v>
      </c>
      <c r="D25" s="42" t="s">
        <v>14</v>
      </c>
      <c r="E25" s="42" t="s">
        <v>15</v>
      </c>
      <c r="F25" s="42" t="s">
        <v>570</v>
      </c>
      <c r="G25" s="42" t="s">
        <v>455</v>
      </c>
      <c r="H25" s="42" t="s">
        <v>744</v>
      </c>
      <c r="I25" s="42" t="s">
        <v>772</v>
      </c>
      <c r="J25" s="42" t="s">
        <v>791</v>
      </c>
      <c r="K25" s="42"/>
      <c r="L25" s="42" t="s">
        <v>123</v>
      </c>
      <c r="M25" s="42" t="s">
        <v>259</v>
      </c>
      <c r="N25" s="42" t="s">
        <v>571</v>
      </c>
      <c r="O25" s="42" t="s">
        <v>572</v>
      </c>
    </row>
    <row r="26" spans="1:15" ht="49.95" customHeight="1">
      <c r="A26" s="43" t="s">
        <v>539</v>
      </c>
      <c r="B26" s="42"/>
      <c r="C26" s="44" t="str">
        <f t="shared" si="0"/>
        <v>*GHY-LAP-0023*</v>
      </c>
      <c r="D26" s="42" t="s">
        <v>14</v>
      </c>
      <c r="E26" s="42" t="s">
        <v>160</v>
      </c>
      <c r="F26" s="42" t="s">
        <v>161</v>
      </c>
      <c r="G26" s="42" t="s">
        <v>460</v>
      </c>
      <c r="H26" s="42" t="s">
        <v>745</v>
      </c>
      <c r="I26" s="42" t="s">
        <v>769</v>
      </c>
      <c r="J26" s="42" t="s">
        <v>792</v>
      </c>
      <c r="K26" s="42"/>
      <c r="L26" s="42" t="s">
        <v>123</v>
      </c>
      <c r="M26" s="42" t="s">
        <v>162</v>
      </c>
      <c r="N26" s="42"/>
      <c r="O26" s="42"/>
    </row>
    <row r="27" spans="1:15" ht="49.95" customHeight="1">
      <c r="A27" s="43" t="s">
        <v>540</v>
      </c>
      <c r="B27" s="42"/>
      <c r="C27" s="44" t="str">
        <f t="shared" si="0"/>
        <v>*GHY-LAP-0024*</v>
      </c>
      <c r="D27" s="42" t="s">
        <v>14</v>
      </c>
      <c r="E27" s="42" t="s">
        <v>20</v>
      </c>
      <c r="F27" s="42" t="s">
        <v>407</v>
      </c>
      <c r="G27" s="42" t="s">
        <v>434</v>
      </c>
      <c r="H27" s="42" t="s">
        <v>56</v>
      </c>
      <c r="I27" s="42" t="s">
        <v>769</v>
      </c>
      <c r="J27" s="42" t="s">
        <v>776</v>
      </c>
      <c r="K27" s="42"/>
      <c r="L27" s="42" t="s">
        <v>123</v>
      </c>
      <c r="M27" s="42" t="s">
        <v>408</v>
      </c>
      <c r="N27" s="42"/>
      <c r="O27" s="42"/>
    </row>
    <row r="28" spans="1:15" ht="49.95" customHeight="1">
      <c r="A28" s="43" t="s">
        <v>541</v>
      </c>
      <c r="B28" s="42"/>
      <c r="C28" s="44" t="str">
        <f t="shared" si="0"/>
        <v>*GHY-LAP-0025*</v>
      </c>
      <c r="D28" s="42" t="s">
        <v>14</v>
      </c>
      <c r="E28" s="42" t="s">
        <v>15</v>
      </c>
      <c r="F28" s="42" t="s">
        <v>188</v>
      </c>
      <c r="G28" s="42" t="s">
        <v>443</v>
      </c>
      <c r="H28" s="42" t="s">
        <v>740</v>
      </c>
      <c r="I28" s="42" t="s">
        <v>769</v>
      </c>
      <c r="J28" s="42" t="s">
        <v>781</v>
      </c>
      <c r="K28" s="42"/>
      <c r="L28" s="42" t="s">
        <v>123</v>
      </c>
      <c r="M28" s="42" t="s">
        <v>189</v>
      </c>
      <c r="N28" s="42"/>
      <c r="O28" s="42"/>
    </row>
    <row r="29" spans="1:15" ht="49.95" customHeight="1">
      <c r="A29" s="43" t="s">
        <v>542</v>
      </c>
      <c r="B29" s="42"/>
      <c r="C29" s="44" t="str">
        <f t="shared" si="0"/>
        <v>*GHY-LAP-0026*</v>
      </c>
      <c r="D29" s="42" t="s">
        <v>14</v>
      </c>
      <c r="E29" s="42" t="s">
        <v>20</v>
      </c>
      <c r="F29" s="42" t="s">
        <v>404</v>
      </c>
      <c r="G29" s="42" t="s">
        <v>459</v>
      </c>
      <c r="H29" s="42" t="s">
        <v>746</v>
      </c>
      <c r="I29" s="42" t="s">
        <v>771</v>
      </c>
      <c r="J29" s="42" t="s">
        <v>793</v>
      </c>
      <c r="K29" s="42"/>
      <c r="L29" s="42" t="s">
        <v>123</v>
      </c>
      <c r="M29" s="42" t="s">
        <v>405</v>
      </c>
      <c r="N29" s="42"/>
      <c r="O29" s="42"/>
    </row>
    <row r="30" spans="1:15" ht="49.95" customHeight="1">
      <c r="A30" s="43" t="s">
        <v>543</v>
      </c>
      <c r="B30" s="42"/>
      <c r="C30" s="44" t="str">
        <f t="shared" si="0"/>
        <v>*GHY-LAP-0027*</v>
      </c>
      <c r="D30" s="42" t="s">
        <v>14</v>
      </c>
      <c r="E30" s="42" t="s">
        <v>15</v>
      </c>
      <c r="F30" s="42" t="s">
        <v>573</v>
      </c>
      <c r="G30" s="42" t="s">
        <v>461</v>
      </c>
      <c r="H30" s="42" t="s">
        <v>365</v>
      </c>
      <c r="I30" s="42" t="s">
        <v>769</v>
      </c>
      <c r="J30" s="42" t="s">
        <v>794</v>
      </c>
      <c r="K30" s="42"/>
      <c r="L30" s="42" t="s">
        <v>123</v>
      </c>
      <c r="M30" s="42" t="s">
        <v>304</v>
      </c>
      <c r="N30" s="42" t="s">
        <v>574</v>
      </c>
      <c r="O30" s="42" t="s">
        <v>575</v>
      </c>
    </row>
    <row r="31" spans="1:15" ht="49.95" customHeight="1">
      <c r="A31" s="43" t="s">
        <v>544</v>
      </c>
      <c r="B31" s="42"/>
      <c r="C31" s="44" t="str">
        <f t="shared" si="0"/>
        <v>*GHY-LAP-0028*</v>
      </c>
      <c r="D31" s="42" t="s">
        <v>14</v>
      </c>
      <c r="E31" s="42" t="s">
        <v>160</v>
      </c>
      <c r="F31" s="42" t="s">
        <v>163</v>
      </c>
      <c r="G31" s="42" t="s">
        <v>463</v>
      </c>
      <c r="H31" s="42" t="s">
        <v>747</v>
      </c>
      <c r="I31" s="42" t="s">
        <v>771</v>
      </c>
      <c r="J31" s="42" t="s">
        <v>795</v>
      </c>
      <c r="K31" s="42"/>
      <c r="L31" s="42" t="s">
        <v>123</v>
      </c>
      <c r="M31" s="42" t="s">
        <v>164</v>
      </c>
      <c r="N31" s="42"/>
      <c r="O31" s="42"/>
    </row>
    <row r="32" spans="1:15" ht="49.95" customHeight="1">
      <c r="A32" s="43" t="s">
        <v>545</v>
      </c>
      <c r="B32" s="42"/>
      <c r="C32" s="44" t="str">
        <f t="shared" si="0"/>
        <v>*GHY-LAP-0029*</v>
      </c>
      <c r="D32" s="42" t="s">
        <v>14</v>
      </c>
      <c r="E32" s="42" t="s">
        <v>15</v>
      </c>
      <c r="F32" s="42" t="s">
        <v>577</v>
      </c>
      <c r="G32" s="42" t="s">
        <v>464</v>
      </c>
      <c r="H32" s="42" t="s">
        <v>748</v>
      </c>
      <c r="I32" s="42" t="s">
        <v>771</v>
      </c>
      <c r="J32" s="42" t="s">
        <v>796</v>
      </c>
      <c r="K32" s="42"/>
      <c r="L32" s="42" t="s">
        <v>123</v>
      </c>
      <c r="M32" s="42" t="s">
        <v>401</v>
      </c>
      <c r="N32" s="42" t="s">
        <v>576</v>
      </c>
      <c r="O32" s="42" t="s">
        <v>578</v>
      </c>
    </row>
    <row r="33" spans="1:15" ht="49.95" customHeight="1">
      <c r="A33" s="43" t="s">
        <v>546</v>
      </c>
      <c r="B33" s="42"/>
      <c r="C33" s="44" t="str">
        <f t="shared" si="0"/>
        <v>*GHY-LAP-0030*</v>
      </c>
      <c r="D33" s="42" t="s">
        <v>14</v>
      </c>
      <c r="E33" s="42" t="s">
        <v>15</v>
      </c>
      <c r="F33" s="42" t="s">
        <v>570</v>
      </c>
      <c r="G33" s="42" t="s">
        <v>465</v>
      </c>
      <c r="H33" s="42" t="s">
        <v>749</v>
      </c>
      <c r="I33" s="42" t="s">
        <v>141</v>
      </c>
      <c r="J33" s="42" t="s">
        <v>797</v>
      </c>
      <c r="K33" s="42"/>
      <c r="L33" s="42" t="s">
        <v>123</v>
      </c>
      <c r="M33" s="42" t="s">
        <v>556</v>
      </c>
      <c r="N33" s="42" t="s">
        <v>579</v>
      </c>
      <c r="O33" s="42" t="s">
        <v>580</v>
      </c>
    </row>
    <row r="34" spans="1:15" ht="49.95" customHeight="1">
      <c r="A34" s="43" t="s">
        <v>547</v>
      </c>
      <c r="B34" s="42"/>
      <c r="C34" s="44" t="str">
        <f t="shared" si="0"/>
        <v>*GHY-LAP-0031*</v>
      </c>
      <c r="D34" s="42" t="s">
        <v>14</v>
      </c>
      <c r="E34" s="42" t="s">
        <v>63</v>
      </c>
      <c r="F34" s="42" t="s">
        <v>64</v>
      </c>
      <c r="G34" s="42" t="s">
        <v>432</v>
      </c>
      <c r="H34" s="42" t="s">
        <v>182</v>
      </c>
      <c r="I34" s="42"/>
      <c r="J34" s="42"/>
      <c r="K34" s="42"/>
      <c r="L34" s="42" t="s">
        <v>123</v>
      </c>
      <c r="M34" s="42" t="s">
        <v>270</v>
      </c>
      <c r="N34" s="42"/>
      <c r="O34" s="42"/>
    </row>
    <row r="35" spans="1:15" ht="49.95" customHeight="1">
      <c r="A35" s="43" t="s">
        <v>548</v>
      </c>
      <c r="B35" s="42"/>
      <c r="C35" s="44" t="str">
        <f t="shared" si="0"/>
        <v>*GHY-LAP-0032*</v>
      </c>
      <c r="D35" s="42" t="s">
        <v>14</v>
      </c>
      <c r="E35" s="42" t="s">
        <v>15</v>
      </c>
      <c r="F35" s="42" t="s">
        <v>273</v>
      </c>
      <c r="G35" s="42" t="s">
        <v>432</v>
      </c>
      <c r="H35" s="42" t="s">
        <v>16</v>
      </c>
      <c r="I35" s="42"/>
      <c r="J35" s="42"/>
      <c r="K35" s="42"/>
      <c r="L35" s="42" t="s">
        <v>123</v>
      </c>
      <c r="M35" s="42" t="s">
        <v>272</v>
      </c>
      <c r="N35" s="42"/>
      <c r="O35" s="42"/>
    </row>
    <row r="36" spans="1:15" ht="49.95" customHeight="1">
      <c r="A36" s="43" t="s">
        <v>549</v>
      </c>
      <c r="B36" s="42"/>
      <c r="C36" s="44" t="str">
        <f t="shared" si="0"/>
        <v>*GHY-LAP-0033*</v>
      </c>
      <c r="D36" s="42" t="s">
        <v>14</v>
      </c>
      <c r="E36" s="42" t="s">
        <v>160</v>
      </c>
      <c r="F36" s="42" t="s">
        <v>407</v>
      </c>
      <c r="G36" s="42" t="s">
        <v>432</v>
      </c>
      <c r="H36" s="42" t="s">
        <v>16</v>
      </c>
      <c r="I36" s="42"/>
      <c r="J36" s="42"/>
      <c r="K36" s="42"/>
      <c r="L36" s="42" t="s">
        <v>123</v>
      </c>
      <c r="M36" s="42" t="s">
        <v>581</v>
      </c>
      <c r="N36" s="42" t="s">
        <v>582</v>
      </c>
      <c r="O36" s="42" t="s">
        <v>583</v>
      </c>
    </row>
    <row r="37" spans="1:15" ht="49.95" customHeight="1">
      <c r="A37" s="43" t="s">
        <v>550</v>
      </c>
      <c r="B37" s="42"/>
      <c r="C37" s="44" t="str">
        <f t="shared" si="0"/>
        <v>*GHY-LAP-0034*</v>
      </c>
      <c r="D37" s="42" t="s">
        <v>14</v>
      </c>
      <c r="E37" s="42" t="s">
        <v>15</v>
      </c>
      <c r="F37" s="42" t="s">
        <v>156</v>
      </c>
      <c r="G37" s="42" t="s">
        <v>477</v>
      </c>
      <c r="H37" s="42" t="s">
        <v>750</v>
      </c>
      <c r="I37" s="42" t="s">
        <v>141</v>
      </c>
      <c r="J37" s="42" t="s">
        <v>798</v>
      </c>
      <c r="K37" s="42"/>
      <c r="L37" s="42" t="s">
        <v>123</v>
      </c>
      <c r="M37" s="42" t="s">
        <v>276</v>
      </c>
      <c r="N37" s="42"/>
      <c r="O37" s="42"/>
    </row>
    <row r="38" spans="1:15" ht="49.95" customHeight="1">
      <c r="A38" s="43" t="s">
        <v>551</v>
      </c>
      <c r="B38" s="42"/>
      <c r="C38" s="44" t="str">
        <f t="shared" si="0"/>
        <v>*GHY-LAP-0035*</v>
      </c>
      <c r="D38" s="42" t="s">
        <v>14</v>
      </c>
      <c r="E38" s="42" t="s">
        <v>15</v>
      </c>
      <c r="F38" s="42" t="s">
        <v>299</v>
      </c>
      <c r="G38" s="42" t="s">
        <v>457</v>
      </c>
      <c r="H38" s="42" t="s">
        <v>751</v>
      </c>
      <c r="I38" s="42" t="s">
        <v>135</v>
      </c>
      <c r="J38" s="42" t="s">
        <v>799</v>
      </c>
      <c r="K38" s="42"/>
      <c r="L38" s="42" t="s">
        <v>123</v>
      </c>
      <c r="M38" s="42" t="s">
        <v>298</v>
      </c>
      <c r="N38" s="42"/>
      <c r="O38" s="42"/>
    </row>
    <row r="39" spans="1:15" ht="49.95" customHeight="1">
      <c r="A39" s="43" t="s">
        <v>552</v>
      </c>
      <c r="B39" s="42"/>
      <c r="C39" s="44" t="str">
        <f t="shared" si="0"/>
        <v>*GHY-LAP-0036*</v>
      </c>
      <c r="D39" s="42" t="s">
        <v>14</v>
      </c>
      <c r="E39" s="42" t="s">
        <v>20</v>
      </c>
      <c r="F39" s="42" t="s">
        <v>286</v>
      </c>
      <c r="G39" s="42" t="s">
        <v>432</v>
      </c>
      <c r="H39" s="42" t="s">
        <v>16</v>
      </c>
      <c r="I39" s="42"/>
      <c r="J39" s="42"/>
      <c r="K39" s="42"/>
      <c r="L39" s="42" t="s">
        <v>123</v>
      </c>
      <c r="M39" s="42" t="s">
        <v>287</v>
      </c>
      <c r="N39" s="42"/>
      <c r="O39" s="42"/>
    </row>
    <row r="40" spans="1:15" ht="49.95" customHeight="1">
      <c r="A40" s="43" t="s">
        <v>553</v>
      </c>
      <c r="B40" s="42"/>
      <c r="C40" s="44" t="str">
        <f t="shared" si="0"/>
        <v>*GHY-LAP-0037*</v>
      </c>
      <c r="D40" s="42" t="s">
        <v>14</v>
      </c>
      <c r="E40" s="42" t="s">
        <v>63</v>
      </c>
      <c r="F40" s="42" t="s">
        <v>64</v>
      </c>
      <c r="G40" s="42" t="s">
        <v>472</v>
      </c>
      <c r="H40" s="42" t="s">
        <v>752</v>
      </c>
      <c r="I40" s="42" t="s">
        <v>279</v>
      </c>
      <c r="J40" s="42" t="s">
        <v>800</v>
      </c>
      <c r="K40" s="42"/>
      <c r="L40" s="42" t="s">
        <v>123</v>
      </c>
      <c r="M40" s="42" t="s">
        <v>288</v>
      </c>
      <c r="N40" s="42">
        <v>46160</v>
      </c>
      <c r="O40" s="42">
        <v>47255</v>
      </c>
    </row>
    <row r="41" spans="1:15">
      <c r="A41" s="65" t="s">
        <v>584</v>
      </c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</row>
    <row r="42" spans="1:15">
      <c r="A42" s="42" t="s">
        <v>585</v>
      </c>
      <c r="B42" s="42"/>
      <c r="C42" s="45"/>
      <c r="D42" s="42" t="s">
        <v>150</v>
      </c>
      <c r="E42" s="42" t="s">
        <v>15</v>
      </c>
      <c r="F42" s="42" t="s">
        <v>277</v>
      </c>
      <c r="G42" s="42" t="s">
        <v>452</v>
      </c>
      <c r="H42" s="42" t="s">
        <v>753</v>
      </c>
      <c r="I42" s="42" t="s">
        <v>279</v>
      </c>
      <c r="J42" s="42" t="s">
        <v>801</v>
      </c>
      <c r="K42" s="42"/>
      <c r="L42" s="42" t="s">
        <v>123</v>
      </c>
      <c r="M42" s="42" t="s">
        <v>250</v>
      </c>
      <c r="N42" s="42"/>
      <c r="O42" s="42"/>
    </row>
    <row r="43" spans="1:15">
      <c r="A43" s="42" t="s">
        <v>586</v>
      </c>
      <c r="B43" s="42"/>
      <c r="C43" s="45"/>
      <c r="D43" s="42" t="s">
        <v>150</v>
      </c>
      <c r="E43" s="42" t="s">
        <v>15</v>
      </c>
      <c r="F43" s="42" t="s">
        <v>156</v>
      </c>
      <c r="G43" s="42" t="s">
        <v>432</v>
      </c>
      <c r="H43" s="42" t="s">
        <v>208</v>
      </c>
      <c r="I43" s="42"/>
      <c r="J43" s="42"/>
      <c r="K43" s="42"/>
      <c r="L43" s="42" t="s">
        <v>123</v>
      </c>
      <c r="M43" s="42" t="s">
        <v>276</v>
      </c>
      <c r="N43" s="42"/>
      <c r="O43" s="42"/>
    </row>
    <row r="44" spans="1:15">
      <c r="A44" s="42" t="s">
        <v>587</v>
      </c>
      <c r="B44" s="42"/>
      <c r="C44" s="45"/>
      <c r="D44" s="42" t="s">
        <v>150</v>
      </c>
      <c r="E44" s="42" t="s">
        <v>15</v>
      </c>
      <c r="F44" s="42" t="s">
        <v>631</v>
      </c>
      <c r="G44" s="42" t="s">
        <v>432</v>
      </c>
      <c r="H44" s="42" t="s">
        <v>559</v>
      </c>
      <c r="I44" s="42"/>
      <c r="J44" s="42"/>
      <c r="K44" s="42"/>
      <c r="L44" s="42" t="s">
        <v>123</v>
      </c>
      <c r="M44" s="42" t="s">
        <v>267</v>
      </c>
      <c r="N44" s="42" t="s">
        <v>632</v>
      </c>
      <c r="O44" s="42" t="s">
        <v>633</v>
      </c>
    </row>
    <row r="45" spans="1:15">
      <c r="A45" s="42" t="s">
        <v>588</v>
      </c>
      <c r="B45" s="42"/>
      <c r="C45" s="45"/>
      <c r="D45" s="42" t="s">
        <v>150</v>
      </c>
      <c r="E45" s="42" t="s">
        <v>15</v>
      </c>
      <c r="F45" s="42" t="s">
        <v>244</v>
      </c>
      <c r="G45" s="42" t="s">
        <v>453</v>
      </c>
      <c r="H45" s="42" t="s">
        <v>70</v>
      </c>
      <c r="I45" s="42" t="s">
        <v>279</v>
      </c>
      <c r="J45" s="42" t="s">
        <v>790</v>
      </c>
      <c r="K45" s="42"/>
      <c r="L45" s="42" t="s">
        <v>123</v>
      </c>
      <c r="M45" s="42" t="s">
        <v>660</v>
      </c>
      <c r="N45" s="42" t="s">
        <v>643</v>
      </c>
      <c r="O45" s="42" t="s">
        <v>661</v>
      </c>
    </row>
    <row r="46" spans="1:15">
      <c r="A46" s="42" t="s">
        <v>589</v>
      </c>
      <c r="B46" s="42"/>
      <c r="C46" s="45"/>
      <c r="D46" s="42" t="s">
        <v>150</v>
      </c>
      <c r="E46" s="42" t="s">
        <v>15</v>
      </c>
      <c r="F46" s="42" t="s">
        <v>634</v>
      </c>
      <c r="G46" s="42" t="s">
        <v>446</v>
      </c>
      <c r="H46" s="42" t="s">
        <v>65</v>
      </c>
      <c r="I46" s="42" t="s">
        <v>279</v>
      </c>
      <c r="J46" s="42" t="s">
        <v>785</v>
      </c>
      <c r="K46" s="42"/>
      <c r="L46" s="42" t="s">
        <v>123</v>
      </c>
      <c r="M46" s="42" t="s">
        <v>252</v>
      </c>
      <c r="N46" s="42" t="s">
        <v>635</v>
      </c>
      <c r="O46" s="42" t="s">
        <v>636</v>
      </c>
    </row>
    <row r="47" spans="1:15">
      <c r="A47" s="42" t="s">
        <v>590</v>
      </c>
      <c r="B47" s="42"/>
      <c r="C47" s="45"/>
      <c r="D47" s="42" t="s">
        <v>150</v>
      </c>
      <c r="E47" s="42" t="s">
        <v>15</v>
      </c>
      <c r="F47" s="42" t="s">
        <v>167</v>
      </c>
      <c r="G47" s="42" t="s">
        <v>454</v>
      </c>
      <c r="H47" s="42" t="s">
        <v>754</v>
      </c>
      <c r="I47" s="42" t="s">
        <v>279</v>
      </c>
      <c r="J47" s="42" t="s">
        <v>802</v>
      </c>
      <c r="K47" s="42"/>
      <c r="L47" s="42" t="s">
        <v>123</v>
      </c>
      <c r="M47" s="42" t="s">
        <v>253</v>
      </c>
      <c r="N47" s="42" t="s">
        <v>637</v>
      </c>
      <c r="O47" s="42" t="s">
        <v>638</v>
      </c>
    </row>
    <row r="48" spans="1:15">
      <c r="A48" s="42" t="s">
        <v>591</v>
      </c>
      <c r="B48" s="42"/>
      <c r="C48" s="45"/>
      <c r="D48" s="42" t="s">
        <v>150</v>
      </c>
      <c r="E48" s="42" t="s">
        <v>15</v>
      </c>
      <c r="F48" s="42" t="s">
        <v>178</v>
      </c>
      <c r="G48" s="42" t="s">
        <v>449</v>
      </c>
      <c r="H48" s="42" t="s">
        <v>68</v>
      </c>
      <c r="I48" s="42" t="s">
        <v>279</v>
      </c>
      <c r="J48" s="42" t="s">
        <v>788</v>
      </c>
      <c r="K48" s="42"/>
      <c r="L48" s="42" t="s">
        <v>123</v>
      </c>
      <c r="M48" s="42" t="s">
        <v>254</v>
      </c>
      <c r="N48" s="42" t="s">
        <v>639</v>
      </c>
      <c r="O48" s="42" t="s">
        <v>640</v>
      </c>
    </row>
    <row r="49" spans="1:15">
      <c r="A49" s="42" t="s">
        <v>592</v>
      </c>
      <c r="B49" s="42"/>
      <c r="C49" s="45"/>
      <c r="D49" s="42" t="s">
        <v>150</v>
      </c>
      <c r="E49" s="42" t="s">
        <v>15</v>
      </c>
      <c r="F49" s="42" t="s">
        <v>167</v>
      </c>
      <c r="G49" s="42" t="s">
        <v>448</v>
      </c>
      <c r="H49" s="42" t="s">
        <v>67</v>
      </c>
      <c r="I49" s="42" t="s">
        <v>279</v>
      </c>
      <c r="J49" s="42" t="s">
        <v>787</v>
      </c>
      <c r="K49" s="42"/>
      <c r="L49" s="42" t="s">
        <v>123</v>
      </c>
      <c r="M49" s="42" t="s">
        <v>255</v>
      </c>
      <c r="N49" s="42" t="s">
        <v>641</v>
      </c>
      <c r="O49" s="42" t="s">
        <v>642</v>
      </c>
    </row>
    <row r="50" spans="1:15">
      <c r="A50" s="42" t="s">
        <v>593</v>
      </c>
      <c r="B50" s="42"/>
      <c r="C50" s="45"/>
      <c r="D50" s="42" t="s">
        <v>150</v>
      </c>
      <c r="E50" s="42" t="s">
        <v>15</v>
      </c>
      <c r="F50" s="42" t="s">
        <v>301</v>
      </c>
      <c r="G50" s="42" t="s">
        <v>432</v>
      </c>
      <c r="H50" s="42" t="s">
        <v>755</v>
      </c>
      <c r="I50" s="42" t="s">
        <v>141</v>
      </c>
      <c r="J50" s="42" t="s">
        <v>803</v>
      </c>
      <c r="K50" s="42"/>
      <c r="L50" s="42" t="s">
        <v>123</v>
      </c>
      <c r="M50" s="42" t="s">
        <v>256</v>
      </c>
      <c r="N50" s="42" t="s">
        <v>643</v>
      </c>
      <c r="O50" s="42" t="s">
        <v>644</v>
      </c>
    </row>
    <row r="51" spans="1:15">
      <c r="A51" s="42" t="s">
        <v>594</v>
      </c>
      <c r="B51" s="42"/>
      <c r="C51" s="45"/>
      <c r="D51" s="42" t="s">
        <v>150</v>
      </c>
      <c r="E51" s="42" t="s">
        <v>15</v>
      </c>
      <c r="F51" s="42" t="s">
        <v>634</v>
      </c>
      <c r="G51" s="42" t="s">
        <v>455</v>
      </c>
      <c r="H51" s="42" t="s">
        <v>744</v>
      </c>
      <c r="I51" s="42" t="s">
        <v>772</v>
      </c>
      <c r="J51" s="42" t="s">
        <v>791</v>
      </c>
      <c r="K51" s="42"/>
      <c r="L51" s="42" t="s">
        <v>123</v>
      </c>
      <c r="M51" s="42" t="s">
        <v>257</v>
      </c>
      <c r="N51" s="42" t="s">
        <v>635</v>
      </c>
      <c r="O51" s="42" t="s">
        <v>645</v>
      </c>
    </row>
    <row r="52" spans="1:15">
      <c r="A52" s="42" t="s">
        <v>595</v>
      </c>
      <c r="B52" s="42"/>
      <c r="C52" s="45"/>
      <c r="D52" s="42" t="s">
        <v>150</v>
      </c>
      <c r="E52" s="42" t="s">
        <v>20</v>
      </c>
      <c r="F52" s="42" t="s">
        <v>646</v>
      </c>
      <c r="G52" s="42" t="s">
        <v>456</v>
      </c>
      <c r="H52" s="42" t="s">
        <v>756</v>
      </c>
      <c r="I52" s="42" t="s">
        <v>141</v>
      </c>
      <c r="J52" s="42" t="s">
        <v>804</v>
      </c>
      <c r="K52" s="42"/>
      <c r="L52" s="42" t="s">
        <v>123</v>
      </c>
      <c r="M52" s="42" t="s">
        <v>258</v>
      </c>
      <c r="N52" s="42" t="s">
        <v>647</v>
      </c>
      <c r="O52" s="42" t="s">
        <v>648</v>
      </c>
    </row>
    <row r="53" spans="1:15">
      <c r="A53" s="42" t="s">
        <v>596</v>
      </c>
      <c r="B53" s="42"/>
      <c r="C53" s="45"/>
      <c r="D53" s="42" t="s">
        <v>150</v>
      </c>
      <c r="E53" s="42" t="s">
        <v>15</v>
      </c>
      <c r="F53" s="42" t="s">
        <v>634</v>
      </c>
      <c r="G53" s="42" t="s">
        <v>457</v>
      </c>
      <c r="H53" s="42" t="s">
        <v>751</v>
      </c>
      <c r="I53" s="42" t="s">
        <v>135</v>
      </c>
      <c r="J53" s="42" t="s">
        <v>799</v>
      </c>
      <c r="K53" s="42"/>
      <c r="L53" s="42" t="s">
        <v>123</v>
      </c>
      <c r="M53" s="42" t="s">
        <v>300</v>
      </c>
      <c r="N53" s="42" t="s">
        <v>635</v>
      </c>
      <c r="O53" s="42" t="s">
        <v>649</v>
      </c>
    </row>
    <row r="54" spans="1:15">
      <c r="A54" s="42" t="s">
        <v>597</v>
      </c>
      <c r="B54" s="42"/>
      <c r="C54" s="45"/>
      <c r="D54" s="42" t="s">
        <v>150</v>
      </c>
      <c r="E54" s="42" t="s">
        <v>15</v>
      </c>
      <c r="F54" s="42" t="s">
        <v>178</v>
      </c>
      <c r="G54" s="42" t="s">
        <v>458</v>
      </c>
      <c r="H54" s="42" t="s">
        <v>757</v>
      </c>
      <c r="I54" s="42" t="s">
        <v>135</v>
      </c>
      <c r="J54" s="42" t="s">
        <v>805</v>
      </c>
      <c r="K54" s="42"/>
      <c r="L54" s="42" t="s">
        <v>123</v>
      </c>
      <c r="M54" s="42" t="s">
        <v>179</v>
      </c>
      <c r="N54" s="42"/>
      <c r="O54" s="42"/>
    </row>
    <row r="55" spans="1:15">
      <c r="A55" s="42" t="s">
        <v>598</v>
      </c>
      <c r="B55" s="42"/>
      <c r="C55" s="45"/>
      <c r="D55" s="42" t="s">
        <v>150</v>
      </c>
      <c r="E55" s="42" t="s">
        <v>15</v>
      </c>
      <c r="F55" s="42" t="s">
        <v>156</v>
      </c>
      <c r="G55" s="42" t="s">
        <v>459</v>
      </c>
      <c r="H55" s="42" t="s">
        <v>746</v>
      </c>
      <c r="I55" s="42" t="s">
        <v>771</v>
      </c>
      <c r="J55" s="42" t="s">
        <v>793</v>
      </c>
      <c r="K55" s="42"/>
      <c r="L55" s="42" t="s">
        <v>123</v>
      </c>
      <c r="M55" s="42" t="s">
        <v>495</v>
      </c>
      <c r="N55" s="42" t="s">
        <v>650</v>
      </c>
      <c r="O55" s="42" t="s">
        <v>651</v>
      </c>
    </row>
    <row r="56" spans="1:15">
      <c r="A56" s="42" t="s">
        <v>599</v>
      </c>
      <c r="B56" s="42"/>
      <c r="C56" s="45"/>
      <c r="D56" s="42" t="s">
        <v>150</v>
      </c>
      <c r="E56" s="42" t="s">
        <v>152</v>
      </c>
      <c r="F56" s="42" t="s">
        <v>153</v>
      </c>
      <c r="G56" s="42" t="s">
        <v>432</v>
      </c>
      <c r="H56" s="42" t="s">
        <v>736</v>
      </c>
      <c r="I56" s="42" t="s">
        <v>767</v>
      </c>
      <c r="J56" s="42" t="s">
        <v>774</v>
      </c>
      <c r="K56" s="42"/>
      <c r="L56" s="42" t="s">
        <v>123</v>
      </c>
      <c r="M56" s="42" t="s">
        <v>151</v>
      </c>
      <c r="N56" s="42"/>
      <c r="O56" s="42"/>
    </row>
    <row r="57" spans="1:15">
      <c r="A57" s="42" t="s">
        <v>600</v>
      </c>
      <c r="B57" s="42"/>
      <c r="C57" s="45"/>
      <c r="D57" s="42" t="s">
        <v>150</v>
      </c>
      <c r="E57" s="42" t="s">
        <v>15</v>
      </c>
      <c r="F57" s="42" t="s">
        <v>180</v>
      </c>
      <c r="G57" s="42" t="s">
        <v>434</v>
      </c>
      <c r="H57" s="42" t="s">
        <v>56</v>
      </c>
      <c r="I57" s="42" t="s">
        <v>769</v>
      </c>
      <c r="J57" s="42" t="s">
        <v>776</v>
      </c>
      <c r="K57" s="42"/>
      <c r="L57" s="42" t="s">
        <v>123</v>
      </c>
      <c r="M57" s="42" t="s">
        <v>215</v>
      </c>
      <c r="N57" s="42"/>
      <c r="O57" s="42"/>
    </row>
    <row r="58" spans="1:15">
      <c r="A58" s="42" t="s">
        <v>601</v>
      </c>
      <c r="B58" s="42"/>
      <c r="C58" s="45"/>
      <c r="D58" s="42" t="s">
        <v>150</v>
      </c>
      <c r="E58" s="42" t="s">
        <v>15</v>
      </c>
      <c r="F58" s="42" t="s">
        <v>216</v>
      </c>
      <c r="G58" s="42" t="s">
        <v>461</v>
      </c>
      <c r="H58" s="42" t="s">
        <v>365</v>
      </c>
      <c r="I58" s="42" t="s">
        <v>769</v>
      </c>
      <c r="J58" s="42" t="s">
        <v>794</v>
      </c>
      <c r="K58" s="42"/>
      <c r="L58" s="42" t="s">
        <v>123</v>
      </c>
      <c r="M58" s="42" t="s">
        <v>217</v>
      </c>
      <c r="N58" s="42"/>
      <c r="O58" s="42"/>
    </row>
    <row r="59" spans="1:15">
      <c r="A59" s="42" t="s">
        <v>602</v>
      </c>
      <c r="B59" s="42"/>
      <c r="C59" s="45"/>
      <c r="D59" s="42" t="s">
        <v>150</v>
      </c>
      <c r="E59" s="42" t="s">
        <v>15</v>
      </c>
      <c r="F59" s="42" t="s">
        <v>634</v>
      </c>
      <c r="G59" s="42" t="s">
        <v>435</v>
      </c>
      <c r="H59" s="42" t="s">
        <v>737</v>
      </c>
      <c r="I59" s="42" t="s">
        <v>770</v>
      </c>
      <c r="J59" s="42" t="s">
        <v>777</v>
      </c>
      <c r="K59" s="42"/>
      <c r="L59" s="42" t="s">
        <v>123</v>
      </c>
      <c r="M59" s="42" t="s">
        <v>218</v>
      </c>
      <c r="N59" s="42" t="s">
        <v>635</v>
      </c>
      <c r="O59" s="42" t="s">
        <v>652</v>
      </c>
    </row>
    <row r="60" spans="1:15">
      <c r="A60" s="42" t="s">
        <v>603</v>
      </c>
      <c r="B60" s="42"/>
      <c r="C60" s="45"/>
      <c r="D60" s="42" t="s">
        <v>150</v>
      </c>
      <c r="E60" s="42" t="s">
        <v>15</v>
      </c>
      <c r="F60" s="42" t="s">
        <v>216</v>
      </c>
      <c r="G60" s="42" t="s">
        <v>462</v>
      </c>
      <c r="H60" s="42" t="s">
        <v>758</v>
      </c>
      <c r="I60" s="42" t="s">
        <v>769</v>
      </c>
      <c r="J60" s="42" t="s">
        <v>806</v>
      </c>
      <c r="K60" s="42"/>
      <c r="L60" s="42" t="s">
        <v>123</v>
      </c>
      <c r="M60" s="42" t="s">
        <v>219</v>
      </c>
      <c r="N60" s="42"/>
      <c r="O60" s="42"/>
    </row>
    <row r="61" spans="1:15">
      <c r="A61" s="42" t="s">
        <v>604</v>
      </c>
      <c r="B61" s="42"/>
      <c r="C61" s="45"/>
      <c r="D61" s="42" t="s">
        <v>150</v>
      </c>
      <c r="E61" s="42" t="s">
        <v>15</v>
      </c>
      <c r="F61" s="42" t="s">
        <v>172</v>
      </c>
      <c r="G61" s="42" t="s">
        <v>465</v>
      </c>
      <c r="H61" s="42" t="s">
        <v>749</v>
      </c>
      <c r="I61" s="42" t="s">
        <v>141</v>
      </c>
      <c r="J61" s="42" t="s">
        <v>797</v>
      </c>
      <c r="K61" s="42"/>
      <c r="L61" s="42" t="s">
        <v>123</v>
      </c>
      <c r="M61" s="42" t="s">
        <v>177</v>
      </c>
      <c r="N61" s="42"/>
      <c r="O61" s="42"/>
    </row>
    <row r="62" spans="1:15">
      <c r="A62" s="42" t="s">
        <v>605</v>
      </c>
      <c r="B62" s="42"/>
      <c r="C62" s="45"/>
      <c r="D62" s="42" t="s">
        <v>150</v>
      </c>
      <c r="E62" s="42" t="s">
        <v>15</v>
      </c>
      <c r="F62" s="42" t="s">
        <v>175</v>
      </c>
      <c r="G62" s="42" t="s">
        <v>466</v>
      </c>
      <c r="H62" s="42" t="s">
        <v>759</v>
      </c>
      <c r="I62" s="42" t="s">
        <v>768</v>
      </c>
      <c r="J62" s="42" t="s">
        <v>794</v>
      </c>
      <c r="K62" s="42"/>
      <c r="L62" s="42" t="s">
        <v>123</v>
      </c>
      <c r="M62" s="42" t="s">
        <v>176</v>
      </c>
      <c r="N62" s="42"/>
      <c r="O62" s="42"/>
    </row>
    <row r="63" spans="1:15">
      <c r="A63" s="42" t="s">
        <v>606</v>
      </c>
      <c r="B63" s="42"/>
      <c r="C63" s="45"/>
      <c r="D63" s="42" t="s">
        <v>150</v>
      </c>
      <c r="E63" s="42" t="s">
        <v>15</v>
      </c>
      <c r="F63" s="42" t="s">
        <v>172</v>
      </c>
      <c r="G63" s="42" t="s">
        <v>467</v>
      </c>
      <c r="H63" s="42" t="s">
        <v>760</v>
      </c>
      <c r="I63" s="42" t="s">
        <v>141</v>
      </c>
      <c r="J63" s="42" t="s">
        <v>794</v>
      </c>
      <c r="K63" s="42"/>
      <c r="L63" s="42" t="s">
        <v>123</v>
      </c>
      <c r="M63" s="42" t="s">
        <v>174</v>
      </c>
      <c r="N63" s="42"/>
      <c r="O63" s="42"/>
    </row>
    <row r="64" spans="1:15">
      <c r="A64" s="42" t="s">
        <v>607</v>
      </c>
      <c r="B64" s="42"/>
      <c r="C64" s="45"/>
      <c r="D64" s="42" t="s">
        <v>150</v>
      </c>
      <c r="E64" s="42" t="s">
        <v>15</v>
      </c>
      <c r="F64" s="42" t="s">
        <v>172</v>
      </c>
      <c r="G64" s="42" t="s">
        <v>468</v>
      </c>
      <c r="H64" s="42" t="s">
        <v>761</v>
      </c>
      <c r="I64" s="42" t="s">
        <v>141</v>
      </c>
      <c r="J64" s="42" t="s">
        <v>807</v>
      </c>
      <c r="K64" s="42"/>
      <c r="L64" s="42" t="s">
        <v>123</v>
      </c>
      <c r="M64" s="42" t="s">
        <v>173</v>
      </c>
      <c r="N64" s="42"/>
      <c r="O64" s="42"/>
    </row>
    <row r="65" spans="1:15">
      <c r="A65" s="42" t="s">
        <v>608</v>
      </c>
      <c r="B65" s="42"/>
      <c r="C65" s="45"/>
      <c r="D65" s="42" t="s">
        <v>150</v>
      </c>
      <c r="E65" s="42" t="s">
        <v>15</v>
      </c>
      <c r="F65" s="42" t="s">
        <v>301</v>
      </c>
      <c r="G65" s="42" t="s">
        <v>469</v>
      </c>
      <c r="H65" s="42" t="s">
        <v>762</v>
      </c>
      <c r="I65" s="42" t="s">
        <v>141</v>
      </c>
      <c r="J65" s="42" t="s">
        <v>808</v>
      </c>
      <c r="K65" s="42"/>
      <c r="L65" s="42" t="s">
        <v>123</v>
      </c>
      <c r="M65" s="42" t="s">
        <v>400</v>
      </c>
      <c r="N65" s="42"/>
      <c r="O65" s="42"/>
    </row>
    <row r="66" spans="1:15">
      <c r="A66" s="42" t="s">
        <v>609</v>
      </c>
      <c r="B66" s="42"/>
      <c r="C66" s="45"/>
      <c r="D66" s="42" t="s">
        <v>150</v>
      </c>
      <c r="E66" s="42" t="s">
        <v>15</v>
      </c>
      <c r="F66" s="42" t="s">
        <v>634</v>
      </c>
      <c r="G66" s="42" t="s">
        <v>470</v>
      </c>
      <c r="H66" s="42" t="s">
        <v>763</v>
      </c>
      <c r="I66" s="42" t="s">
        <v>769</v>
      </c>
      <c r="J66" s="42" t="s">
        <v>809</v>
      </c>
      <c r="K66" s="42"/>
      <c r="L66" s="42" t="s">
        <v>123</v>
      </c>
      <c r="M66" s="42" t="s">
        <v>220</v>
      </c>
      <c r="N66" s="42" t="s">
        <v>635</v>
      </c>
      <c r="O66" s="42" t="s">
        <v>649</v>
      </c>
    </row>
    <row r="67" spans="1:15">
      <c r="A67" s="42" t="s">
        <v>610</v>
      </c>
      <c r="B67" s="42"/>
      <c r="C67" s="45"/>
      <c r="D67" s="42" t="s">
        <v>150</v>
      </c>
      <c r="E67" s="42" t="s">
        <v>152</v>
      </c>
      <c r="F67" s="42" t="s">
        <v>167</v>
      </c>
      <c r="G67" s="42" t="s">
        <v>471</v>
      </c>
      <c r="H67" s="42" t="s">
        <v>764</v>
      </c>
      <c r="I67" s="42" t="s">
        <v>141</v>
      </c>
      <c r="J67" s="42" t="s">
        <v>810</v>
      </c>
      <c r="K67" s="42"/>
      <c r="L67" s="42" t="s">
        <v>123</v>
      </c>
      <c r="M67" s="42" t="s">
        <v>168</v>
      </c>
      <c r="N67" s="42"/>
      <c r="O67" s="42"/>
    </row>
    <row r="68" spans="1:15">
      <c r="A68" s="42" t="s">
        <v>611</v>
      </c>
      <c r="B68" s="42"/>
      <c r="C68" s="45"/>
      <c r="D68" s="42" t="s">
        <v>150</v>
      </c>
      <c r="E68" s="42" t="s">
        <v>15</v>
      </c>
      <c r="F68" s="42" t="s">
        <v>156</v>
      </c>
      <c r="G68" s="42" t="s">
        <v>473</v>
      </c>
      <c r="H68" s="42" t="s">
        <v>158</v>
      </c>
      <c r="I68" s="42" t="s">
        <v>769</v>
      </c>
      <c r="J68" s="42" t="s">
        <v>779</v>
      </c>
      <c r="K68" s="42"/>
      <c r="L68" s="42" t="s">
        <v>123</v>
      </c>
      <c r="M68" s="42" t="s">
        <v>157</v>
      </c>
      <c r="N68" s="42"/>
      <c r="O68" s="42"/>
    </row>
    <row r="69" spans="1:15">
      <c r="A69" s="42" t="s">
        <v>612</v>
      </c>
      <c r="B69" s="42"/>
      <c r="C69" s="45"/>
      <c r="D69" s="42" t="s">
        <v>150</v>
      </c>
      <c r="E69" s="42" t="s">
        <v>15</v>
      </c>
      <c r="F69" s="42" t="s">
        <v>167</v>
      </c>
      <c r="G69" s="42" t="s">
        <v>474</v>
      </c>
      <c r="H69" s="42" t="s">
        <v>765</v>
      </c>
      <c r="I69" s="42" t="s">
        <v>773</v>
      </c>
      <c r="J69" s="42" t="s">
        <v>811</v>
      </c>
      <c r="K69" s="42"/>
      <c r="L69" s="42" t="s">
        <v>123</v>
      </c>
      <c r="M69" s="42" t="s">
        <v>170</v>
      </c>
      <c r="N69" s="42"/>
      <c r="O69" s="42"/>
    </row>
    <row r="70" spans="1:15">
      <c r="A70" s="42" t="s">
        <v>613</v>
      </c>
      <c r="B70" s="42"/>
      <c r="C70" s="45"/>
      <c r="D70" s="42" t="s">
        <v>150</v>
      </c>
      <c r="E70" s="42" t="s">
        <v>15</v>
      </c>
      <c r="F70" s="42" t="s">
        <v>192</v>
      </c>
      <c r="G70" s="42" t="s">
        <v>432</v>
      </c>
      <c r="H70" s="42" t="s">
        <v>191</v>
      </c>
      <c r="I70" s="42"/>
      <c r="J70" s="42"/>
      <c r="K70" s="42"/>
      <c r="L70" s="42" t="s">
        <v>123</v>
      </c>
      <c r="M70" s="42" t="s">
        <v>266</v>
      </c>
      <c r="N70" s="42"/>
      <c r="O70" s="42"/>
    </row>
    <row r="71" spans="1:15">
      <c r="A71" s="42" t="s">
        <v>614</v>
      </c>
      <c r="B71" s="42"/>
      <c r="C71" s="45"/>
      <c r="D71" s="42" t="s">
        <v>150</v>
      </c>
      <c r="E71" s="42" t="s">
        <v>15</v>
      </c>
      <c r="F71" s="42" t="s">
        <v>193</v>
      </c>
      <c r="G71" s="42" t="s">
        <v>432</v>
      </c>
      <c r="H71" s="42" t="s">
        <v>194</v>
      </c>
      <c r="I71" s="42"/>
      <c r="J71" s="42"/>
      <c r="K71" s="42"/>
      <c r="L71" s="42" t="s">
        <v>123</v>
      </c>
      <c r="M71" s="42" t="s">
        <v>267</v>
      </c>
      <c r="N71" s="42"/>
      <c r="O71" s="42"/>
    </row>
    <row r="72" spans="1:15">
      <c r="A72" s="42" t="s">
        <v>615</v>
      </c>
      <c r="B72" s="42"/>
      <c r="C72" s="45"/>
      <c r="D72" s="42" t="s">
        <v>150</v>
      </c>
      <c r="E72" s="42" t="s">
        <v>15</v>
      </c>
      <c r="F72" s="42" t="s">
        <v>190</v>
      </c>
      <c r="G72" s="42" t="s">
        <v>475</v>
      </c>
      <c r="H72" s="42" t="s">
        <v>195</v>
      </c>
      <c r="I72" s="42" t="s">
        <v>141</v>
      </c>
      <c r="J72" s="42" t="s">
        <v>812</v>
      </c>
      <c r="K72" s="42"/>
      <c r="L72" s="42" t="s">
        <v>123</v>
      </c>
      <c r="M72" s="42" t="s">
        <v>268</v>
      </c>
      <c r="N72" s="42"/>
      <c r="O72" s="42"/>
    </row>
    <row r="73" spans="1:15">
      <c r="A73" s="42" t="s">
        <v>616</v>
      </c>
      <c r="B73" s="42"/>
      <c r="C73" s="45"/>
      <c r="D73" s="42" t="s">
        <v>150</v>
      </c>
      <c r="E73" s="42" t="s">
        <v>15</v>
      </c>
      <c r="F73" s="42" t="s">
        <v>196</v>
      </c>
      <c r="G73" s="42" t="s">
        <v>476</v>
      </c>
      <c r="H73" s="42" t="s">
        <v>197</v>
      </c>
      <c r="I73" s="42" t="s">
        <v>141</v>
      </c>
      <c r="J73" s="42" t="s">
        <v>813</v>
      </c>
      <c r="K73" s="42"/>
      <c r="L73" s="42" t="s">
        <v>123</v>
      </c>
      <c r="M73" s="42" t="s">
        <v>269</v>
      </c>
      <c r="N73" s="42"/>
      <c r="O73" s="42"/>
    </row>
    <row r="74" spans="1:15">
      <c r="A74" s="42" t="s">
        <v>617</v>
      </c>
      <c r="B74" s="42"/>
      <c r="C74" s="45"/>
      <c r="D74" s="42" t="s">
        <v>150</v>
      </c>
      <c r="E74" s="42" t="s">
        <v>15</v>
      </c>
      <c r="F74" s="42" t="s">
        <v>199</v>
      </c>
      <c r="G74" s="42" t="s">
        <v>432</v>
      </c>
      <c r="H74" s="42" t="s">
        <v>198</v>
      </c>
      <c r="I74" s="42"/>
      <c r="J74" s="42"/>
      <c r="K74" s="42"/>
      <c r="L74" s="42" t="s">
        <v>123</v>
      </c>
      <c r="M74" s="42" t="s">
        <v>398</v>
      </c>
      <c r="N74" s="42"/>
      <c r="O74" s="42"/>
    </row>
    <row r="75" spans="1:15">
      <c r="A75" s="42" t="s">
        <v>618</v>
      </c>
      <c r="B75" s="42"/>
      <c r="C75" s="45"/>
      <c r="D75" s="42" t="s">
        <v>150</v>
      </c>
      <c r="E75" s="42" t="s">
        <v>20</v>
      </c>
      <c r="F75" s="42" t="s">
        <v>409</v>
      </c>
      <c r="G75" s="42" t="s">
        <v>432</v>
      </c>
      <c r="H75" s="42" t="s">
        <v>198</v>
      </c>
      <c r="I75" s="42"/>
      <c r="J75" s="42"/>
      <c r="K75" s="42"/>
      <c r="L75" s="42" t="s">
        <v>123</v>
      </c>
      <c r="M75" s="42" t="s">
        <v>410</v>
      </c>
      <c r="N75" s="42"/>
      <c r="O75" s="42"/>
    </row>
    <row r="76" spans="1:15">
      <c r="A76" s="42" t="s">
        <v>619</v>
      </c>
      <c r="B76" s="42"/>
      <c r="C76" s="45"/>
      <c r="D76" s="42" t="s">
        <v>150</v>
      </c>
      <c r="E76" s="42" t="s">
        <v>15</v>
      </c>
      <c r="F76" s="42" t="s">
        <v>245</v>
      </c>
      <c r="G76" s="42" t="s">
        <v>432</v>
      </c>
      <c r="H76" s="42" t="s">
        <v>16</v>
      </c>
      <c r="I76" s="42"/>
      <c r="J76" s="42"/>
      <c r="K76" s="42"/>
      <c r="L76" s="42" t="s">
        <v>123</v>
      </c>
      <c r="M76" s="42" t="s">
        <v>239</v>
      </c>
      <c r="N76" s="42"/>
      <c r="O76" s="42"/>
    </row>
    <row r="77" spans="1:15">
      <c r="A77" s="42" t="s">
        <v>620</v>
      </c>
      <c r="B77" s="42"/>
      <c r="C77" s="45"/>
      <c r="D77" s="42" t="s">
        <v>150</v>
      </c>
      <c r="E77" s="42" t="s">
        <v>15</v>
      </c>
      <c r="F77" s="42" t="s">
        <v>245</v>
      </c>
      <c r="G77" s="42" t="s">
        <v>432</v>
      </c>
      <c r="H77" s="42" t="s">
        <v>16</v>
      </c>
      <c r="I77" s="42"/>
      <c r="J77" s="42"/>
      <c r="K77" s="42"/>
      <c r="L77" s="42" t="s">
        <v>123</v>
      </c>
      <c r="M77" s="42" t="s">
        <v>240</v>
      </c>
      <c r="N77" s="42"/>
      <c r="O77" s="42"/>
    </row>
    <row r="78" spans="1:15">
      <c r="A78" s="42" t="s">
        <v>621</v>
      </c>
      <c r="B78" s="42"/>
      <c r="C78" s="45"/>
      <c r="D78" s="42" t="s">
        <v>150</v>
      </c>
      <c r="E78" s="42" t="s">
        <v>15</v>
      </c>
      <c r="F78" s="42" t="s">
        <v>245</v>
      </c>
      <c r="G78" s="42" t="s">
        <v>432</v>
      </c>
      <c r="H78" s="42" t="s">
        <v>16</v>
      </c>
      <c r="I78" s="42"/>
      <c r="J78" s="42"/>
      <c r="K78" s="42"/>
      <c r="L78" s="42" t="s">
        <v>123</v>
      </c>
      <c r="M78" s="42" t="s">
        <v>241</v>
      </c>
      <c r="N78" s="42"/>
      <c r="O78" s="42"/>
    </row>
    <row r="79" spans="1:15">
      <c r="A79" s="42" t="s">
        <v>622</v>
      </c>
      <c r="B79" s="42"/>
      <c r="C79" s="45"/>
      <c r="D79" s="42" t="s">
        <v>150</v>
      </c>
      <c r="E79" s="42" t="s">
        <v>15</v>
      </c>
      <c r="F79" s="42" t="s">
        <v>247</v>
      </c>
      <c r="G79" s="42" t="s">
        <v>432</v>
      </c>
      <c r="H79" s="42" t="s">
        <v>16</v>
      </c>
      <c r="I79" s="42"/>
      <c r="J79" s="42"/>
      <c r="K79" s="42"/>
      <c r="L79" s="42" t="s">
        <v>123</v>
      </c>
      <c r="M79" s="42" t="s">
        <v>242</v>
      </c>
      <c r="N79" s="42"/>
      <c r="O79" s="42"/>
    </row>
    <row r="80" spans="1:15">
      <c r="A80" s="42" t="s">
        <v>623</v>
      </c>
      <c r="B80" s="42"/>
      <c r="C80" s="45"/>
      <c r="D80" s="42" t="s">
        <v>150</v>
      </c>
      <c r="E80" s="42" t="s">
        <v>15</v>
      </c>
      <c r="F80" s="42" t="s">
        <v>244</v>
      </c>
      <c r="G80" s="42" t="s">
        <v>432</v>
      </c>
      <c r="H80" s="42" t="s">
        <v>16</v>
      </c>
      <c r="I80" s="42"/>
      <c r="J80" s="42"/>
      <c r="K80" s="42"/>
      <c r="L80" s="42" t="s">
        <v>123</v>
      </c>
      <c r="M80" s="42" t="s">
        <v>243</v>
      </c>
      <c r="N80" s="42"/>
      <c r="O80" s="42"/>
    </row>
    <row r="81" spans="1:15">
      <c r="A81" s="42" t="s">
        <v>624</v>
      </c>
      <c r="B81" s="42"/>
      <c r="C81" s="45"/>
      <c r="D81" s="42" t="s">
        <v>150</v>
      </c>
      <c r="E81" s="42" t="s">
        <v>15</v>
      </c>
      <c r="F81" s="42" t="s">
        <v>190</v>
      </c>
      <c r="G81" s="42" t="s">
        <v>432</v>
      </c>
      <c r="H81" s="42" t="s">
        <v>208</v>
      </c>
      <c r="I81" s="42"/>
      <c r="J81" s="42"/>
      <c r="K81" s="42"/>
      <c r="L81" s="42" t="s">
        <v>123</v>
      </c>
      <c r="M81" s="42" t="s">
        <v>275</v>
      </c>
      <c r="N81" s="42"/>
      <c r="O81" s="42"/>
    </row>
    <row r="82" spans="1:15">
      <c r="A82" s="42" t="s">
        <v>625</v>
      </c>
      <c r="B82" s="42"/>
      <c r="C82" s="45"/>
      <c r="D82" s="42" t="s">
        <v>150</v>
      </c>
      <c r="E82" s="42" t="s">
        <v>15</v>
      </c>
      <c r="F82" s="42" t="s">
        <v>216</v>
      </c>
      <c r="G82" s="42" t="s">
        <v>478</v>
      </c>
      <c r="H82" s="42" t="s">
        <v>230</v>
      </c>
      <c r="I82" s="42" t="s">
        <v>770</v>
      </c>
      <c r="J82" s="42" t="s">
        <v>814</v>
      </c>
      <c r="K82" s="42"/>
      <c r="L82" s="42" t="s">
        <v>123</v>
      </c>
      <c r="M82" s="42" t="s">
        <v>229</v>
      </c>
      <c r="N82" s="42"/>
      <c r="O82" s="42"/>
    </row>
    <row r="83" spans="1:15">
      <c r="A83" s="42" t="s">
        <v>626</v>
      </c>
      <c r="B83" s="42"/>
      <c r="C83" s="45"/>
      <c r="D83" s="42" t="s">
        <v>150</v>
      </c>
      <c r="E83" s="42" t="s">
        <v>15</v>
      </c>
      <c r="F83" s="42" t="s">
        <v>653</v>
      </c>
      <c r="G83" s="42" t="s">
        <v>432</v>
      </c>
      <c r="H83" s="42" t="s">
        <v>198</v>
      </c>
      <c r="I83" s="42"/>
      <c r="J83" s="42"/>
      <c r="K83" s="42"/>
      <c r="L83" s="42" t="s">
        <v>123</v>
      </c>
      <c r="M83" s="42" t="s">
        <v>231</v>
      </c>
      <c r="N83" s="42" t="s">
        <v>635</v>
      </c>
      <c r="O83" s="42" t="s">
        <v>654</v>
      </c>
    </row>
    <row r="84" spans="1:15">
      <c r="A84" s="42" t="s">
        <v>627</v>
      </c>
      <c r="B84" s="42"/>
      <c r="C84" s="45"/>
      <c r="D84" s="42" t="s">
        <v>150</v>
      </c>
      <c r="E84" s="42" t="s">
        <v>15</v>
      </c>
      <c r="F84" s="42" t="s">
        <v>167</v>
      </c>
      <c r="G84" s="42" t="s">
        <v>479</v>
      </c>
      <c r="H84" s="42" t="s">
        <v>281</v>
      </c>
      <c r="I84" s="42" t="s">
        <v>772</v>
      </c>
      <c r="J84" s="42" t="s">
        <v>815</v>
      </c>
      <c r="K84" s="42"/>
      <c r="L84" s="42" t="s">
        <v>123</v>
      </c>
      <c r="M84" s="42" t="s">
        <v>280</v>
      </c>
      <c r="N84" s="42" t="s">
        <v>655</v>
      </c>
      <c r="O84" s="42" t="s">
        <v>246</v>
      </c>
    </row>
    <row r="85" spans="1:15">
      <c r="A85" s="42" t="s">
        <v>628</v>
      </c>
      <c r="B85" s="42"/>
      <c r="C85" s="45"/>
      <c r="D85" s="42" t="s">
        <v>150</v>
      </c>
      <c r="E85" s="42" t="s">
        <v>15</v>
      </c>
      <c r="F85" s="42" t="s">
        <v>656</v>
      </c>
      <c r="G85" s="42" t="s">
        <v>480</v>
      </c>
      <c r="H85" s="42" t="s">
        <v>283</v>
      </c>
      <c r="I85" s="42" t="s">
        <v>772</v>
      </c>
      <c r="J85" s="42" t="s">
        <v>816</v>
      </c>
      <c r="K85" s="42"/>
      <c r="L85" s="42" t="s">
        <v>123</v>
      </c>
      <c r="M85" s="42" t="s">
        <v>282</v>
      </c>
      <c r="N85" s="42" t="s">
        <v>657</v>
      </c>
      <c r="O85" s="42" t="s">
        <v>658</v>
      </c>
    </row>
    <row r="86" spans="1:15">
      <c r="A86" s="42" t="s">
        <v>629</v>
      </c>
      <c r="B86" s="42"/>
      <c r="C86" s="45"/>
      <c r="D86" s="42" t="s">
        <v>150</v>
      </c>
      <c r="E86" s="42" t="s">
        <v>15</v>
      </c>
      <c r="F86" s="42" t="s">
        <v>277</v>
      </c>
      <c r="G86" s="42" t="s">
        <v>481</v>
      </c>
      <c r="H86" s="42" t="s">
        <v>766</v>
      </c>
      <c r="I86" s="42" t="s">
        <v>279</v>
      </c>
      <c r="J86" s="42" t="s">
        <v>786</v>
      </c>
      <c r="K86" s="42"/>
      <c r="L86" s="42" t="s">
        <v>123</v>
      </c>
      <c r="M86" s="42" t="s">
        <v>291</v>
      </c>
      <c r="N86" s="42" t="s">
        <v>659</v>
      </c>
      <c r="O86" s="42" t="s">
        <v>278</v>
      </c>
    </row>
    <row r="87" spans="1:15">
      <c r="A87" s="42" t="s">
        <v>630</v>
      </c>
      <c r="B87" s="42"/>
      <c r="C87" s="45"/>
      <c r="D87" s="42" t="s">
        <v>150</v>
      </c>
      <c r="E87" s="42" t="s">
        <v>15</v>
      </c>
      <c r="F87" s="42" t="s">
        <v>653</v>
      </c>
      <c r="G87" s="42" t="s">
        <v>819</v>
      </c>
      <c r="H87" s="42" t="s">
        <v>817</v>
      </c>
      <c r="I87" s="42" t="s">
        <v>140</v>
      </c>
      <c r="J87" s="42" t="s">
        <v>795</v>
      </c>
      <c r="K87" s="42"/>
      <c r="L87" s="42" t="s">
        <v>123</v>
      </c>
      <c r="M87" s="42" t="s">
        <v>818</v>
      </c>
      <c r="N87" s="42" t="s">
        <v>635</v>
      </c>
      <c r="O87" s="42" t="s">
        <v>820</v>
      </c>
    </row>
    <row r="88" spans="1:15">
      <c r="A88" s="42" t="s">
        <v>821</v>
      </c>
      <c r="B88" s="42"/>
      <c r="C88" s="45"/>
      <c r="D88" s="42" t="s">
        <v>150</v>
      </c>
      <c r="E88" s="42" t="s">
        <v>15</v>
      </c>
      <c r="F88" s="42" t="s">
        <v>301</v>
      </c>
      <c r="G88" s="42" t="s">
        <v>440</v>
      </c>
      <c r="H88" s="42" t="s">
        <v>739</v>
      </c>
      <c r="I88" s="42" t="s">
        <v>135</v>
      </c>
      <c r="J88" s="42" t="s">
        <v>782</v>
      </c>
      <c r="K88" s="42"/>
      <c r="L88" s="42" t="s">
        <v>123</v>
      </c>
      <c r="M88" s="42" t="s">
        <v>302</v>
      </c>
      <c r="N88" s="42"/>
      <c r="O88" s="42"/>
    </row>
    <row r="89" spans="1:15">
      <c r="A89" s="65" t="s">
        <v>34</v>
      </c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</row>
    <row r="90" spans="1:15">
      <c r="A90" s="42" t="s">
        <v>662</v>
      </c>
      <c r="B90" s="42"/>
      <c r="C90" s="45"/>
      <c r="D90" s="42" t="s">
        <v>34</v>
      </c>
      <c r="E90" s="42" t="s">
        <v>134</v>
      </c>
      <c r="F90" s="42">
        <v>2925</v>
      </c>
      <c r="G90" s="42"/>
      <c r="H90" s="42" t="s">
        <v>125</v>
      </c>
      <c r="I90" s="42"/>
      <c r="J90" s="42"/>
      <c r="K90" s="42"/>
      <c r="L90" s="42" t="s">
        <v>123</v>
      </c>
      <c r="M90" s="42" t="s">
        <v>221</v>
      </c>
      <c r="N90" s="42"/>
      <c r="O90" s="42"/>
    </row>
    <row r="91" spans="1:15">
      <c r="A91" s="42" t="s">
        <v>663</v>
      </c>
      <c r="B91" s="42"/>
      <c r="C91" s="45"/>
      <c r="D91" s="42" t="s">
        <v>34</v>
      </c>
      <c r="E91" s="42" t="s">
        <v>20</v>
      </c>
      <c r="F91" s="42" t="s">
        <v>222</v>
      </c>
      <c r="G91" s="42"/>
      <c r="H91" s="42" t="s">
        <v>125</v>
      </c>
      <c r="I91" s="42"/>
      <c r="J91" s="42"/>
      <c r="K91" s="42"/>
      <c r="L91" s="42" t="s">
        <v>123</v>
      </c>
      <c r="M91" s="42" t="s">
        <v>223</v>
      </c>
      <c r="N91" s="42"/>
      <c r="O91" s="42"/>
    </row>
    <row r="92" spans="1:15">
      <c r="A92" s="42" t="s">
        <v>664</v>
      </c>
      <c r="B92" s="42"/>
      <c r="C92" s="45"/>
      <c r="D92" s="42" t="s">
        <v>34</v>
      </c>
      <c r="E92" s="42" t="s">
        <v>20</v>
      </c>
      <c r="F92" s="42">
        <v>1213</v>
      </c>
      <c r="G92" s="42"/>
      <c r="H92" s="42" t="s">
        <v>125</v>
      </c>
      <c r="I92" s="42"/>
      <c r="J92" s="42"/>
      <c r="K92" s="42"/>
      <c r="L92" s="42" t="s">
        <v>123</v>
      </c>
      <c r="M92" s="42" t="s">
        <v>224</v>
      </c>
      <c r="N92" s="42"/>
      <c r="O92" s="42"/>
    </row>
    <row r="93" spans="1:15">
      <c r="A93" s="42" t="s">
        <v>665</v>
      </c>
      <c r="B93" s="42"/>
      <c r="C93" s="45"/>
      <c r="D93" s="42" t="s">
        <v>34</v>
      </c>
      <c r="E93" s="42" t="s">
        <v>20</v>
      </c>
      <c r="F93" s="42">
        <v>1020</v>
      </c>
      <c r="G93" s="42"/>
      <c r="H93" s="42" t="s">
        <v>125</v>
      </c>
      <c r="I93" s="42"/>
      <c r="J93" s="42"/>
      <c r="K93" s="42"/>
      <c r="L93" s="42" t="s">
        <v>123</v>
      </c>
      <c r="M93" s="42" t="s">
        <v>225</v>
      </c>
      <c r="N93" s="42"/>
      <c r="O93" s="42"/>
    </row>
    <row r="94" spans="1:15">
      <c r="A94" s="42" t="s">
        <v>666</v>
      </c>
      <c r="B94" s="42"/>
      <c r="C94" s="45"/>
      <c r="D94" s="42" t="s">
        <v>34</v>
      </c>
      <c r="E94" s="42" t="s">
        <v>20</v>
      </c>
      <c r="F94" s="42" t="s">
        <v>226</v>
      </c>
      <c r="G94" s="42"/>
      <c r="H94" s="42" t="s">
        <v>125</v>
      </c>
      <c r="I94" s="42"/>
      <c r="J94" s="42"/>
      <c r="K94" s="42"/>
      <c r="L94" s="42" t="s">
        <v>123</v>
      </c>
      <c r="M94" s="42" t="s">
        <v>227</v>
      </c>
      <c r="N94" s="42"/>
      <c r="O94" s="42"/>
    </row>
    <row r="95" spans="1:15">
      <c r="A95" s="42" t="s">
        <v>667</v>
      </c>
      <c r="B95" s="42"/>
      <c r="C95" s="45"/>
      <c r="D95" s="42" t="s">
        <v>34</v>
      </c>
      <c r="E95" s="42" t="s">
        <v>20</v>
      </c>
      <c r="F95" s="42" t="s">
        <v>226</v>
      </c>
      <c r="G95" s="42"/>
      <c r="H95" s="42" t="s">
        <v>125</v>
      </c>
      <c r="I95" s="42"/>
      <c r="J95" s="42"/>
      <c r="K95" s="42"/>
      <c r="L95" s="42" t="s">
        <v>123</v>
      </c>
      <c r="M95" s="42" t="s">
        <v>228</v>
      </c>
      <c r="N95" s="42"/>
      <c r="O95" s="42"/>
    </row>
    <row r="96" spans="1:15">
      <c r="A96" s="42" t="s">
        <v>668</v>
      </c>
      <c r="B96" s="42"/>
      <c r="C96" s="45"/>
      <c r="D96" s="42" t="s">
        <v>34</v>
      </c>
      <c r="E96" s="42" t="s">
        <v>20</v>
      </c>
      <c r="F96" s="42" t="s">
        <v>213</v>
      </c>
      <c r="G96" s="42"/>
      <c r="H96" s="42" t="s">
        <v>125</v>
      </c>
      <c r="I96" s="42"/>
      <c r="J96" s="42"/>
      <c r="K96" s="42"/>
      <c r="L96" s="42" t="s">
        <v>123</v>
      </c>
      <c r="M96" s="42" t="s">
        <v>214</v>
      </c>
      <c r="N96" s="42"/>
      <c r="O96" s="42"/>
    </row>
    <row r="97" spans="1:15">
      <c r="A97" s="42" t="s">
        <v>669</v>
      </c>
      <c r="B97" s="42"/>
      <c r="C97" s="45"/>
      <c r="D97" s="42" t="s">
        <v>34</v>
      </c>
      <c r="E97" s="42" t="s">
        <v>134</v>
      </c>
      <c r="F97" s="42">
        <v>2002</v>
      </c>
      <c r="G97" s="42"/>
      <c r="H97" s="42" t="s">
        <v>135</v>
      </c>
      <c r="I97" s="42"/>
      <c r="J97" s="42"/>
      <c r="K97" s="42"/>
      <c r="L97" s="42" t="s">
        <v>123</v>
      </c>
      <c r="M97" s="42" t="s">
        <v>426</v>
      </c>
      <c r="N97" s="42"/>
      <c r="O97" s="42"/>
    </row>
    <row r="98" spans="1:15">
      <c r="A98" s="42" t="s">
        <v>670</v>
      </c>
      <c r="B98" s="42"/>
      <c r="C98" s="45"/>
      <c r="D98" s="42" t="s">
        <v>34</v>
      </c>
      <c r="E98" s="42" t="s">
        <v>20</v>
      </c>
      <c r="F98" s="42" t="s">
        <v>226</v>
      </c>
      <c r="G98" s="42"/>
      <c r="H98" s="42" t="s">
        <v>137</v>
      </c>
      <c r="I98" s="42"/>
      <c r="J98" s="42"/>
      <c r="K98" s="42"/>
      <c r="L98" s="42" t="s">
        <v>123</v>
      </c>
      <c r="M98" s="42" t="s">
        <v>557</v>
      </c>
      <c r="N98" s="42"/>
      <c r="O98" s="42"/>
    </row>
    <row r="99" spans="1:15">
      <c r="A99" s="42" t="s">
        <v>671</v>
      </c>
      <c r="B99" s="42"/>
      <c r="C99" s="45"/>
      <c r="D99" s="42" t="s">
        <v>34</v>
      </c>
      <c r="E99" s="42" t="s">
        <v>20</v>
      </c>
      <c r="F99" s="42"/>
      <c r="G99" s="42"/>
      <c r="H99" s="42" t="s">
        <v>136</v>
      </c>
      <c r="I99" s="42"/>
      <c r="J99" s="42"/>
      <c r="K99" s="42"/>
      <c r="L99" s="42" t="s">
        <v>123</v>
      </c>
      <c r="M99" s="42" t="s">
        <v>260</v>
      </c>
      <c r="N99" s="42"/>
      <c r="O99" s="42"/>
    </row>
    <row r="100" spans="1:15">
      <c r="A100" s="42" t="s">
        <v>672</v>
      </c>
      <c r="B100" s="42"/>
      <c r="C100" s="45"/>
      <c r="D100" s="42" t="s">
        <v>34</v>
      </c>
      <c r="E100" s="42" t="s">
        <v>20</v>
      </c>
      <c r="F100" s="42" t="s">
        <v>681</v>
      </c>
      <c r="G100" s="42"/>
      <c r="H100" s="42" t="s">
        <v>139</v>
      </c>
      <c r="I100" s="42"/>
      <c r="J100" s="42"/>
      <c r="K100" s="42"/>
      <c r="L100" s="42" t="s">
        <v>123</v>
      </c>
      <c r="M100" s="42" t="s">
        <v>261</v>
      </c>
      <c r="N100" s="42" t="s">
        <v>682</v>
      </c>
      <c r="O100" s="42" t="s">
        <v>683</v>
      </c>
    </row>
    <row r="101" spans="1:15">
      <c r="A101" s="42" t="s">
        <v>673</v>
      </c>
      <c r="B101" s="42"/>
      <c r="C101" s="45"/>
      <c r="D101" s="42" t="s">
        <v>34</v>
      </c>
      <c r="E101" s="42" t="s">
        <v>20</v>
      </c>
      <c r="F101" s="42"/>
      <c r="G101" s="42"/>
      <c r="H101" s="42" t="s">
        <v>138</v>
      </c>
      <c r="I101" s="42"/>
      <c r="J101" s="42"/>
      <c r="K101" s="42"/>
      <c r="L101" s="42" t="s">
        <v>123</v>
      </c>
      <c r="M101" s="42" t="s">
        <v>262</v>
      </c>
      <c r="N101" s="42"/>
      <c r="O101" s="42"/>
    </row>
    <row r="102" spans="1:15">
      <c r="A102" s="42" t="s">
        <v>674</v>
      </c>
      <c r="B102" s="42"/>
      <c r="C102" s="45"/>
      <c r="D102" s="42" t="s">
        <v>34</v>
      </c>
      <c r="E102" s="42" t="s">
        <v>20</v>
      </c>
      <c r="F102" s="42"/>
      <c r="G102" s="42"/>
      <c r="H102" s="42" t="s">
        <v>139</v>
      </c>
      <c r="I102" s="42"/>
      <c r="J102" s="42"/>
      <c r="K102" s="42"/>
      <c r="L102" s="42" t="s">
        <v>123</v>
      </c>
      <c r="M102" s="42" t="s">
        <v>263</v>
      </c>
      <c r="N102" s="42"/>
      <c r="O102" s="42"/>
    </row>
    <row r="103" spans="1:15">
      <c r="A103" s="42" t="s">
        <v>675</v>
      </c>
      <c r="B103" s="42"/>
      <c r="C103" s="45"/>
      <c r="D103" s="42" t="s">
        <v>34</v>
      </c>
      <c r="E103" s="42" t="s">
        <v>20</v>
      </c>
      <c r="F103" s="42"/>
      <c r="G103" s="42"/>
      <c r="H103" s="42" t="s">
        <v>69</v>
      </c>
      <c r="I103" s="42"/>
      <c r="J103" s="42"/>
      <c r="K103" s="42"/>
      <c r="L103" s="42" t="s">
        <v>123</v>
      </c>
      <c r="M103" s="42" t="s">
        <v>264</v>
      </c>
      <c r="N103" s="42"/>
      <c r="O103" s="42"/>
    </row>
    <row r="104" spans="1:15">
      <c r="A104" s="42" t="s">
        <v>676</v>
      </c>
      <c r="B104" s="42"/>
      <c r="C104" s="45"/>
      <c r="D104" s="42" t="s">
        <v>34</v>
      </c>
      <c r="E104" s="42" t="s">
        <v>20</v>
      </c>
      <c r="F104" s="42" t="s">
        <v>402</v>
      </c>
      <c r="G104" s="42"/>
      <c r="H104" s="42" t="s">
        <v>140</v>
      </c>
      <c r="I104" s="42"/>
      <c r="J104" s="42"/>
      <c r="K104" s="42"/>
      <c r="L104" s="42" t="s">
        <v>123</v>
      </c>
      <c r="M104" s="42" t="s">
        <v>403</v>
      </c>
      <c r="N104" s="42"/>
      <c r="O104" s="42"/>
    </row>
    <row r="105" spans="1:15">
      <c r="A105" s="42" t="s">
        <v>677</v>
      </c>
      <c r="B105" s="42"/>
      <c r="C105" s="45"/>
      <c r="D105" s="42" t="s">
        <v>34</v>
      </c>
      <c r="E105" s="42" t="s">
        <v>134</v>
      </c>
      <c r="F105" s="42">
        <v>2002</v>
      </c>
      <c r="G105" s="42"/>
      <c r="H105" s="42" t="s">
        <v>141</v>
      </c>
      <c r="I105" s="42"/>
      <c r="J105" s="42"/>
      <c r="K105" s="42"/>
      <c r="L105" s="42" t="s">
        <v>123</v>
      </c>
      <c r="M105" s="42" t="s">
        <v>429</v>
      </c>
      <c r="N105" s="42"/>
      <c r="O105" s="42"/>
    </row>
    <row r="106" spans="1:15">
      <c r="A106" s="42" t="s">
        <v>678</v>
      </c>
      <c r="B106" s="42"/>
      <c r="C106" s="45"/>
      <c r="D106" s="42" t="s">
        <v>34</v>
      </c>
      <c r="E106" s="42" t="s">
        <v>292</v>
      </c>
      <c r="F106" s="42"/>
      <c r="G106" s="42"/>
      <c r="H106" s="42" t="s">
        <v>200</v>
      </c>
      <c r="I106" s="42"/>
      <c r="J106" s="42"/>
      <c r="K106" s="42"/>
      <c r="L106" s="42" t="s">
        <v>123</v>
      </c>
      <c r="M106" s="42">
        <v>3006070010</v>
      </c>
      <c r="N106" s="42"/>
      <c r="O106" s="42"/>
    </row>
    <row r="107" spans="1:15">
      <c r="A107" s="42" t="s">
        <v>679</v>
      </c>
      <c r="B107" s="42"/>
      <c r="C107" s="45"/>
      <c r="D107" s="42" t="s">
        <v>34</v>
      </c>
      <c r="E107" s="42" t="s">
        <v>20</v>
      </c>
      <c r="F107" s="42"/>
      <c r="G107" s="42"/>
      <c r="H107" s="42" t="s">
        <v>296</v>
      </c>
      <c r="I107" s="42"/>
      <c r="J107" s="42"/>
      <c r="K107" s="42"/>
      <c r="L107" s="42" t="s">
        <v>123</v>
      </c>
      <c r="M107" s="42" t="s">
        <v>295</v>
      </c>
      <c r="N107" s="42"/>
      <c r="O107" s="42"/>
    </row>
    <row r="108" spans="1:15">
      <c r="A108" s="42" t="s">
        <v>680</v>
      </c>
      <c r="B108" s="42"/>
      <c r="C108" s="45"/>
      <c r="D108" s="42" t="s">
        <v>34</v>
      </c>
      <c r="E108" s="42" t="s">
        <v>20</v>
      </c>
      <c r="F108" s="42" t="s">
        <v>430</v>
      </c>
      <c r="G108" s="42"/>
      <c r="H108" s="42" t="s">
        <v>16</v>
      </c>
      <c r="I108" s="42"/>
      <c r="J108" s="42"/>
      <c r="K108" s="42"/>
      <c r="L108" s="42" t="s">
        <v>123</v>
      </c>
      <c r="M108" s="42" t="s">
        <v>431</v>
      </c>
      <c r="N108" s="42"/>
      <c r="O108" s="42"/>
    </row>
  </sheetData>
  <mergeCells count="4">
    <mergeCell ref="A89:O89"/>
    <mergeCell ref="A1:O1"/>
    <mergeCell ref="A3:O3"/>
    <mergeCell ref="A41:O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Dashboard</vt:lpstr>
      <vt:lpstr>'Asset Inventory'!Print_Area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Subham Banerjee</cp:lastModifiedBy>
  <cp:lastPrinted>2026-06-19T03:48:50Z</cp:lastPrinted>
  <dcterms:created xsi:type="dcterms:W3CDTF">2026-06-18T05:20:20Z</dcterms:created>
  <dcterms:modified xsi:type="dcterms:W3CDTF">2026-07-01T09:41:02Z</dcterms:modified>
</cp:coreProperties>
</file>